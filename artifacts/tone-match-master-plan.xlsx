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Market" state="visible" r:id="rId5"/>
    <sheet sheetId="3" name="Personas" state="visible" r:id="rId6"/>
    <sheet sheetId="4" name="Product" state="visible" r:id="rId7"/>
    <sheet sheetId="5" name="Brand UX" state="visible" r:id="rId8"/>
    <sheet sheetId="6" name="AI Engine" state="visible" r:id="rId9"/>
    <sheet sheetId="7" name="Architecture" state="visible" r:id="rId10"/>
    <sheet sheetId="8" name="Stack Matrix" state="visible" r:id="rId11"/>
    <sheet sheetId="9" name="Business" state="visible" r:id="rId12"/>
    <sheet sheetId="10" name="Roadmap" state="visible" r:id="rId13"/>
    <sheet sheetId="11" name="Backlog" state="visible" r:id="rId14"/>
    <sheet sheetId="12" name="Risks" state="visible" r:id="rId15"/>
    <sheet sheetId="13" name="Sources" state="visible" r:id="rId16"/>
  </sheets>
  <calcPr calcId="171027"/>
</workbook>
</file>

<file path=xl/sharedStrings.xml><?xml version="1.0" encoding="utf-8"?>
<sst xmlns="http://schemas.openxmlformats.org/spreadsheetml/2006/main" count="467" uniqueCount="401">
  <si>
    <t>Overview</t>
  </si>
  <si>
    <t>ToneMatch icin vizyon, deger onerisi ve yonetsel ozet</t>
  </si>
  <si>
    <t>Urun Tezi</t>
  </si>
  <si>
    <t>•</t>
  </si>
  <si>
    <t>Selfie ile undertone ve renk profili cikarip bunu gercek kiyafet kararina baglayan kisisel stil asistani.</t>
  </si>
  <si>
    <t>Temel wow ani: 60 saniyeden kisa surede kisinin en iyi renklerini ve uyumlu urunleri gormesi.</t>
  </si>
  <si>
    <t>Pozisyonlama: guzellik filtresi degil; bilimsel ama ulasilabilir stil karar motoru.</t>
  </si>
  <si>
    <t>North Star ve Basari</t>
  </si>
  <si>
    <t>Baslik</t>
  </si>
  <si>
    <t>Tanim</t>
  </si>
  <si>
    <t>Not</t>
  </si>
  <si>
    <t>North Star</t>
  </si>
  <si>
    <t>Analizden sonraki 7 gun icinde en az 1 anlamli stil aksiyonu alan kullanici orani</t>
  </si>
  <si>
    <t>Gercek davranis degisikligini olcer</t>
  </si>
  <si>
    <t>90 gun hedefi</t>
  </si>
  <si>
    <t>Ilk oturum analiz tamamlama, yardimli sonuca guven ve ilk premium donusum</t>
  </si>
  <si>
    <t>Aktivasyon + guven birlikte izlenmeli</t>
  </si>
  <si>
    <t>12 ay hedefi</t>
  </si>
  <si>
    <t>Renk analizi ile outfit onerisini tek catisi altinda birlestiren net kategori lideri</t>
  </si>
  <si>
    <t>Kadin ve erkek deneyimi esit kalitede</t>
  </si>
  <si>
    <t>Stratejik Ilkeler</t>
  </si>
  <si>
    <t>Aciklanabilirlik: her onerinin kisa bir nedeni gorunur.</t>
  </si>
  <si>
    <t>Dusuk surtunme: ilk deger icin uzun profil formu yok.</t>
  </si>
  <si>
    <t>Mahremiyet: raw selfie kisa sure tutulur, silme kullanicinin kontrolundedir.</t>
  </si>
  <si>
    <t>Ticari dogruluk: affiliate baskisi stil dogrulugunu override etmez.</t>
  </si>
  <si>
    <t>Market</t>
  </si>
  <si>
    <t>Rakipler, pazardaki bosluklar ve konumlandirma icin karar tabani</t>
  </si>
  <si>
    <t>Rakip Haritasi</t>
  </si>
  <si>
    <t>Rakip</t>
  </si>
  <si>
    <t>Guclu Yan</t>
  </si>
  <si>
    <t>Bosluk</t>
  </si>
  <si>
    <t>ToneMatch Cikarsimi</t>
  </si>
  <si>
    <t>Style DNA</t>
  </si>
  <si>
    <t>Selfie + wardrobe + commerce kombinasyonu</t>
  </si>
  <si>
    <t>Deger anlatimi yogun ve erkek tarafi halen firsatli</t>
  </si>
  <si>
    <t>Gelistirilmis ama daha sade onboarding ile vur</t>
  </si>
  <si>
    <t>Colorwise / My Best Colors</t>
  </si>
  <si>
    <t>Renk analizi derinligi ve ogreticilik</t>
  </si>
  <si>
    <t>Commerce ve karar aksiyonu daha zayif</t>
  </si>
  <si>
    <t>Palette sonucunu satin alma akimina bagla</t>
  </si>
  <si>
    <t>Insan stilist</t>
  </si>
  <si>
    <t>Guven ve premium algi</t>
  </si>
  <si>
    <t>Yavas ve pahali</t>
  </si>
  <si>
    <t>Dijital cekirdege ileride premium insan dokunusu eklenebilir</t>
  </si>
  <si>
    <t>Pazardaki Acik Alanlar</t>
  </si>
  <si>
    <t>Erkek kullanici icin ayni kalitede deneyim.</t>
  </si>
  <si>
    <t>Iyi isikta guclu, kotu isikta kontrollu fallback veren guvenli analiz.</t>
  </si>
  <si>
    <t>Yerel veya bolgesel katalogla gercek satin alma aksiyonu.</t>
  </si>
  <si>
    <t>Sonucu sadece etiket degil, aciklama ve guven skoru ile sunma.</t>
  </si>
  <si>
    <t>Personas</t>
  </si>
  <si>
    <t>Hedef segmentler, JTBD ve satin alma motivasyonlari</t>
  </si>
  <si>
    <t>Persona Ozeti</t>
  </si>
  <si>
    <t>Persona</t>
  </si>
  <si>
    <t>Profil</t>
  </si>
  <si>
    <t>Temel Ihtiyac</t>
  </si>
  <si>
    <t>Odeme Nedenleri</t>
  </si>
  <si>
    <t>Stilini optimize eden kadin</t>
  </si>
  <si>
    <t>22-38 yas, online alisverise alisik, moda ilgisi orta-yuksek</t>
  </si>
  <si>
    <t>Kendi renklerini ve guvenli alisveris kararlarini netlestirmek</t>
  </si>
  <si>
    <t>Daha hizli ve daha guvenli alisveris</t>
  </si>
  <si>
    <t>Pratik stil yardimi isteyen erkek</t>
  </si>
  <si>
    <t>24-42 yas, stil kararinda ozguveni sinirli</t>
  </si>
  <si>
    <t>Az dusunerek dogru renk ve kombin secmek</t>
  </si>
  <si>
    <t>Zaman kazanci ve daha iyi gorunmek</t>
  </si>
  <si>
    <t>Etkinlik odakli kullanici</t>
  </si>
  <si>
    <t>Karar aninda gelir; dugun, gorusme, tatil gibi senaryolar</t>
  </si>
  <si>
    <t>Duruma ozel hizli renk ve look onerisi</t>
  </si>
  <si>
    <t>Tek seferlik yuksek fayda</t>
  </si>
  <si>
    <t>JTBD</t>
  </si>
  <si>
    <t>Is</t>
  </si>
  <si>
    <t>Friksiyon</t>
  </si>
  <si>
    <t>Cevap</t>
  </si>
  <si>
    <t>Bana hangi renk yakisiyor</t>
  </si>
  <si>
    <t>Cok fazla celiskili bilgi var</t>
  </si>
  <si>
    <t>Foto tabanli undertone ve palet</t>
  </si>
  <si>
    <t>Online alisveriste hata yapmamak</t>
  </si>
  <si>
    <t>Begendigim urun tende kotu durabiliyor</t>
  </si>
  <si>
    <t>Renk uyum skorlu urun onerileri</t>
  </si>
  <si>
    <t>Ozel gun icin hizli karar</t>
  </si>
  <si>
    <t>Kombin kurmak ve renk secmek zaman aliyor</t>
  </si>
  <si>
    <t>Occasion bazli hazir look akisi</t>
  </si>
  <si>
    <t>Product</t>
  </si>
  <si>
    <t>Kullanim akisi, MVP kapsami ve deneyim tasarimi</t>
  </si>
  <si>
    <t>Ana Kullanim Dongusu</t>
  </si>
  <si>
    <t>Onboarding -&gt; selfie upload -&gt; kalite kontrol -&gt; analiz -&gt; sonuc -&gt; shoppable feed.</t>
  </si>
  <si>
    <t>Temel sonuc paywall oncesi gosterilir; derin rapor ve surekli deger premium olur.</t>
  </si>
  <si>
    <t>Home, Discover, Scan, Wardrobe ve Profile olmak uzere 5 tabli bilgi mimarisi.</t>
  </si>
  <si>
    <t>MVP ve Sonraki Faz</t>
  </si>
  <si>
    <t>Ozellik</t>
  </si>
  <si>
    <t>MVP</t>
  </si>
  <si>
    <t>Faz 2+</t>
  </si>
  <si>
    <t>Undertone analizi</t>
  </si>
  <si>
    <t>Evet</t>
  </si>
  <si>
    <t>Model tuning ve ek boyutlar</t>
  </si>
  <si>
    <t>Shoppable urun feed</t>
  </si>
  <si>
    <t>Occasion ve affiliate optimizasyonu</t>
  </si>
  <si>
    <t>Favoriler</t>
  </si>
  <si>
    <t>Wardrobe graph</t>
  </si>
  <si>
    <t>Wardrobe</t>
  </si>
  <si>
    <t>Hayir</t>
  </si>
  <si>
    <t>Quick Check</t>
  </si>
  <si>
    <t>Stilist destekli premium</t>
  </si>
  <si>
    <t>Faz 4</t>
  </si>
  <si>
    <t>Sonuc Ekrani Bilesenleri</t>
  </si>
  <si>
    <t>Warm / Cool / Neutral / Olive ana etiketi + guven skoru.</t>
  </si>
  <si>
    <t>Core colors, neutrals, accent colors ve avoid list.</t>
  </si>
  <si>
    <t>Kategori bazli ilk urun onerileri ve neden kartlari.</t>
  </si>
  <si>
    <t>Tekrar tarama, geri bildirim ve premium derin rapor CTA'si.</t>
  </si>
  <si>
    <t>Brand UX</t>
  </si>
  <si>
    <t>Marka tonu, gorsel sistem ve App Store donusum yonu</t>
  </si>
  <si>
    <t>Marka Hissi</t>
  </si>
  <si>
    <t>Premium ama erisilebilir, rafine ama yargilayici olmayan bir dil.</t>
  </si>
  <si>
    <t>Klinik guzellik uygulamasi degil; editorial moda ile guvenilir utility urunu arasinda denge.</t>
  </si>
  <si>
    <t>Kadin ve erkek deneyimi ayni ciddiyetle tasarlanmis olmali.</t>
  </si>
  <si>
    <t>Token Onerisi</t>
  </si>
  <si>
    <t>Token</t>
  </si>
  <si>
    <t>Deger</t>
  </si>
  <si>
    <t>Rol</t>
  </si>
  <si>
    <t>canvas</t>
  </si>
  <si>
    <t>#F5EFE8</t>
  </si>
  <si>
    <t>Ana arka plan</t>
  </si>
  <si>
    <t>surface</t>
  </si>
  <si>
    <t>#FFF9F4</t>
  </si>
  <si>
    <t>Kart ve paneller</t>
  </si>
  <si>
    <t>ink</t>
  </si>
  <si>
    <t>#2B2520</t>
  </si>
  <si>
    <t>Baslik ve ana metin</t>
  </si>
  <si>
    <t>accent</t>
  </si>
  <si>
    <t>#9E6D45</t>
  </si>
  <si>
    <t>Vurgu, CTA, chip</t>
  </si>
  <si>
    <t>muted</t>
  </si>
  <si>
    <t>#6B6259</t>
  </si>
  <si>
    <t>Ikinci metin</t>
  </si>
  <si>
    <t>Store ve Sonuc Ekrani</t>
  </si>
  <si>
    <t>Store gorselleri: selfie sonucu, palette, shoppable urunler ve privacy vaadi sirasiyla ilerlemeli.</t>
  </si>
  <si>
    <t>Sonuc ekrani urunun vitrini; palette kartlari, neden aciklamasi ve ilk urun onerisi ayni ekranda gorunmeli.</t>
  </si>
  <si>
    <t>Paywall karanlik duvar gibi degil, sonucun premium derinligi gibi hissettirmeli.</t>
  </si>
  <si>
    <t>AI Engine</t>
  </si>
  <si>
    <t>Analiz pipeline'i, olcumleme ve guven mekaniklari</t>
  </si>
  <si>
    <t>Pipeline</t>
  </si>
  <si>
    <t>Adim</t>
  </si>
  <si>
    <t>Ne Yapar</t>
  </si>
  <si>
    <t>Basarisizlikta Davranis</t>
  </si>
  <si>
    <t>Kalite kontrol</t>
  </si>
  <si>
    <t>Blur, isik, coklu yuz, filtre izi kontrolu</t>
  </si>
  <si>
    <t>Yeniden cekim ister</t>
  </si>
  <si>
    <t>Landmark ve ROI</t>
  </si>
  <si>
    <t>Alin, yanak, cene ve boyun referansi cikarma</t>
  </si>
  <si>
    <t>Yuksek belirsizlikte sonucu dusurur</t>
  </si>
  <si>
    <t>Renk normalizasyonu</t>
  </si>
  <si>
    <t>White balance ve exposure dengeleme</t>
  </si>
  <si>
    <t>Gecersiz sahnede guveni azaltir</t>
  </si>
  <si>
    <t>Siniflandirma</t>
  </si>
  <si>
    <t>Undertone + contrast + palette</t>
  </si>
  <si>
    <t>Alternatif sonuc yerine dusuk guven sunar</t>
  </si>
  <si>
    <t>Recommendation</t>
  </si>
  <si>
    <t>Katalog skorlama ve aciklama uretimi</t>
  </si>
  <si>
    <t>Daha temkinli feed gosterir</t>
  </si>
  <si>
    <t>Olcumleme</t>
  </si>
  <si>
    <t>Metrik</t>
  </si>
  <si>
    <t>Amac</t>
  </si>
  <si>
    <t>Top-1 undertone accuracy</t>
  </si>
  <si>
    <t>Analiz kalitesi</t>
  </si>
  <si>
    <t>Tek basina yeterli degil</t>
  </si>
  <si>
    <t>Calibration error</t>
  </si>
  <si>
    <t>Guven skorunun gercege yakinligi</t>
  </si>
  <si>
    <t>Ozellikle sinir vakalarda kritik</t>
  </si>
  <si>
    <t>Recommendation acceptance</t>
  </si>
  <si>
    <t>Ticari ve deneyimsel uygunluk</t>
  </si>
  <si>
    <t>Asil faydayi olcer</t>
  </si>
  <si>
    <t>Retake rate</t>
  </si>
  <si>
    <t>Giris kalitesi ve guven</t>
  </si>
  <si>
    <t>Yuksekse capture akisi zayif olabilir</t>
  </si>
  <si>
    <t>Guven Mekanikleri</t>
  </si>
  <si>
    <t>Raw selfie varsayilan olarak 24 saatten fazla tutulmaz.</t>
  </si>
  <si>
    <t>Dusuk guvenli sonuc, kesin sonuc gibi sunulmaz.</t>
  </si>
  <si>
    <t>Kullanici uygulama icinden analiz, varlik ve hesap silme aksiyonlarini gorebilir.</t>
  </si>
  <si>
    <t>Model regression suiti cilt derinligi ve cinsiyet segmentlerine gore raporlanir.</t>
  </si>
  <si>
    <t>Architecture</t>
  </si>
  <si>
    <t>Bulut servis dagilimi ve teknik kararlar</t>
  </si>
  <si>
    <t>Servis Dagilimi</t>
  </si>
  <si>
    <t>Katman</t>
  </si>
  <si>
    <t>Teknoloji</t>
  </si>
  <si>
    <t>Neden</t>
  </si>
  <si>
    <t>Mobil</t>
  </si>
  <si>
    <t>Expo + React Native + TypeScript</t>
  </si>
  <si>
    <t>Tek codebase ve hizli release operasyonu</t>
  </si>
  <si>
    <t>Auth + DB + Storage</t>
  </si>
  <si>
    <t>Supabase</t>
  </si>
  <si>
    <t>RLS, Realtime ve private upload kolayligi</t>
  </si>
  <si>
    <t>AI Worker</t>
  </si>
  <si>
    <t>Python FastAPI on Cloud Run</t>
  </si>
  <si>
    <t>CPU yogun isler ve yonetilen olcekleme</t>
  </si>
  <si>
    <t>Queue</t>
  </si>
  <si>
    <t>Cloud Tasks</t>
  </si>
  <si>
    <t>Retry ve backoff disiplini</t>
  </si>
  <si>
    <t>Subscriptions</t>
  </si>
  <si>
    <t>RevenueCat</t>
  </si>
  <si>
    <t>Store farklarini normalize eder</t>
  </si>
  <si>
    <t>Analytics</t>
  </si>
  <si>
    <t>PostHog + Sentry</t>
  </si>
  <si>
    <t>Urun ve teknik gorunurluk</t>
  </si>
  <si>
    <t>Kritik Sistem Notlari</t>
  </si>
  <si>
    <t>Signed upload URL kisa omurlu olmali; worker'a ham URL degil job id gecmeli.</t>
  </si>
  <si>
    <t>Tumuyle private storage kurgusu ve server-side service role erisimi kullanilmali.</t>
  </si>
  <si>
    <t>Realtime sadece sonuc durumu icin; agir feedler standart API ile cekilmeli.</t>
  </si>
  <si>
    <t>Model surumleme ve event sozlugu erken donemde standartlastirilmali.</t>
  </si>
  <si>
    <t>Stack Matrix</t>
  </si>
  <si>
    <t>Alternatif teknoloji kombinasyonlari icin agirlikli karar matrisi</t>
  </si>
  <si>
    <t>Agirlikli Karsilastirma</t>
  </si>
  <si>
    <t>Kriter</t>
  </si>
  <si>
    <t>Agirlik</t>
  </si>
  <si>
    <t>Expo+Supabase+Run</t>
  </si>
  <si>
    <t>Expo+Firebase+Functions</t>
  </si>
  <si>
    <t>Expo+AWS Amplify+Lambda</t>
  </si>
  <si>
    <t>Gelistirme hizi</t>
  </si>
  <si>
    <t>Ekibin tasiyabilecegi sadelik</t>
  </si>
  <si>
    <t>AI worker entegrasyonu</t>
  </si>
  <si>
    <t>Veri modeli esnekligi</t>
  </si>
  <si>
    <t>Gizlilik ve erisim kontrolu</t>
  </si>
  <si>
    <t>Toplam maliyet ve operasyon</t>
  </si>
  <si>
    <t>Toplam Skor</t>
  </si>
  <si>
    <t/>
  </si>
  <si>
    <t>Karar</t>
  </si>
  <si>
    <t>Expo + Supabase + Cloud Run kombinasyonu teslim hizi, veri modeli esnekligi ve AI entegrasyonunda en dengeli secenektir.</t>
  </si>
  <si>
    <t>Firebase hizli olabilir ancak Postgres tabanli recommendation ve RLS esnekligi daha sinirlidir.</t>
  </si>
  <si>
    <t>Salt AWS ilk surum icin fazla agir ve ekip uzerindeki operasyon yukunu gereksiz artirir.</t>
  </si>
  <si>
    <t>Business</t>
  </si>
  <si>
    <t>Monetizasyon, KPI ve GTM karar ozetleri</t>
  </si>
  <si>
    <t>Gelir Yapisi</t>
  </si>
  <si>
    <t>Gelir Kanali</t>
  </si>
  <si>
    <t>Subscription</t>
  </si>
  <si>
    <t>Birincil</t>
  </si>
  <si>
    <t>Ilk ana gelir moturu</t>
  </si>
  <si>
    <t>Affiliate</t>
  </si>
  <si>
    <t>Ikincil</t>
  </si>
  <si>
    <t>Katalog derinligi oturunca hizlanir</t>
  </si>
  <si>
    <t>Tek seferlik rapor</t>
  </si>
  <si>
    <t>Destekleyici</t>
  </si>
  <si>
    <t>Etkinlik odakli kullanicida faydali</t>
  </si>
  <si>
    <t>Marka ortakliklari</t>
  </si>
  <si>
    <t>Gec faz</t>
  </si>
  <si>
    <t>Olcege gelince dusunulmeli</t>
  </si>
  <si>
    <t>Fiyat Hipotezi</t>
  </si>
  <si>
    <t>Plan</t>
  </si>
  <si>
    <t>Band</t>
  </si>
  <si>
    <t>Aylik</t>
  </si>
  <si>
    <t>7.99 - 12.99 USD</t>
  </si>
  <si>
    <t>Dusuk pismanklikla ilk odeme</t>
  </si>
  <si>
    <t>Yillik</t>
  </si>
  <si>
    <t>39.99 - 69.99 USD</t>
  </si>
  <si>
    <t>Retention guclu kullaniciyi kilitlemek</t>
  </si>
  <si>
    <t>Premium rapor</t>
  </si>
  <si>
    <t>9.99 - 19.99 USD</t>
  </si>
  <si>
    <t>Occasion / hediye senaryolari</t>
  </si>
  <si>
    <t>KPI</t>
  </si>
  <si>
    <t>Acquisition</t>
  </si>
  <si>
    <t>Store CVR, CAC</t>
  </si>
  <si>
    <t>Hook ve mesajlasma sagligi</t>
  </si>
  <si>
    <t>Activation</t>
  </si>
  <si>
    <t>Scan complete, first result time</t>
  </si>
  <si>
    <t>Ilk wow ani</t>
  </si>
  <si>
    <t>Trust</t>
  </si>
  <si>
    <t>Helpfulness score, retake rate</t>
  </si>
  <si>
    <t>Sonuc inandiriciligi</t>
  </si>
  <si>
    <t>Monetization</t>
  </si>
  <si>
    <t>Trial start, paywall CVR</t>
  </si>
  <si>
    <t>Gelir cekirdegi</t>
  </si>
  <si>
    <t>Commerce</t>
  </si>
  <si>
    <t>Product CTR, affiliate conversion</t>
  </si>
  <si>
    <t>Shoppable akisin isi</t>
  </si>
  <si>
    <t>Roadmap</t>
  </si>
  <si>
    <t>12 aylik teslim ve ekip zamani</t>
  </si>
  <si>
    <t>Fazlar</t>
  </si>
  <si>
    <t>Faz</t>
  </si>
  <si>
    <t>Sure</t>
  </si>
  <si>
    <t>Hedef</t>
  </si>
  <si>
    <t>Cikis</t>
  </si>
  <si>
    <t>Faz 0</t>
  </si>
  <si>
    <t>4-6 hafta</t>
  </si>
  <si>
    <t>Kullanici gorusmeleri ve prototip</t>
  </si>
  <si>
    <t>Positioning + veri plani</t>
  </si>
  <si>
    <t>Faz 1</t>
  </si>
  <si>
    <t>8-12 hafta</t>
  </si>
  <si>
    <t>MVP uygulama ve ilk model</t>
  </si>
  <si>
    <t>Store-ready beta</t>
  </si>
  <si>
    <t>Faz 2</t>
  </si>
  <si>
    <t>8 hafta</t>
  </si>
  <si>
    <t>Occasion, feedback, feed genisleme</t>
  </si>
  <si>
    <t>Retention iyilesmesi</t>
  </si>
  <si>
    <t>Faz 3</t>
  </si>
  <si>
    <t>8-10 hafta</t>
  </si>
  <si>
    <t>Wardrobe ve Quick Check</t>
  </si>
  <si>
    <t>Gunluk kullanim araci</t>
  </si>
  <si>
    <t>10-12 hafta</t>
  </si>
  <si>
    <t>Bolgesel genisleme ve premium katman</t>
  </si>
  <si>
    <t>Olcek ve ortaklik</t>
  </si>
  <si>
    <t>Ilk Ekip</t>
  </si>
  <si>
    <t>1 mobil lead, 1 full-stack/platform engineer, 1 ML engineer, 1 product designer.</t>
  </si>
  <si>
    <t>Founder veya PM urun hizalama ve GTM tarafini tasimali.</t>
  </si>
  <si>
    <t>Part-time growth/content kapasitesi acquisition kreatiflerini uretmeli.</t>
  </si>
  <si>
    <t>Backlog</t>
  </si>
  <si>
    <t>Onceliklendirilmis is listesi ve formullu skor</t>
  </si>
  <si>
    <t>Onceliklendirme Matrisi</t>
  </si>
  <si>
    <t>Impact</t>
  </si>
  <si>
    <t>Confidence</t>
  </si>
  <si>
    <t>Effort</t>
  </si>
  <si>
    <t>Priority Score</t>
  </si>
  <si>
    <t>Undertone scan MVP</t>
  </si>
  <si>
    <t>Cekirdek deger</t>
  </si>
  <si>
    <t>Result hero redesign</t>
  </si>
  <si>
    <t>Activation icin kritik</t>
  </si>
  <si>
    <t>Occasion looks</t>
  </si>
  <si>
    <t>Retention / monetization</t>
  </si>
  <si>
    <t>Wardrobe upload</t>
  </si>
  <si>
    <t>Daha agir ama guclu moat</t>
  </si>
  <si>
    <t>Gunluk tekrar acma nedeni</t>
  </si>
  <si>
    <t>Stylist premium report</t>
  </si>
  <si>
    <t>Sonraki ticari katman</t>
  </si>
  <si>
    <t>Yorum</t>
  </si>
  <si>
    <t>Skorlar, MVP'de once undertone cekirdegi ve sonuc deneyiminin cilalanmasi gerektigini gosterir.</t>
  </si>
  <si>
    <t>Wardrobe ve Quick Check yuksek potansiyel tasir fakat ikinci dalgada daha mantiklidir.</t>
  </si>
  <si>
    <t>Risks</t>
  </si>
  <si>
    <t>Urun, teknik ve ticari risk kaydi</t>
  </si>
  <si>
    <t>Risk Register</t>
  </si>
  <si>
    <t>Risk</t>
  </si>
  <si>
    <t>Etki</t>
  </si>
  <si>
    <t>Sinyal</t>
  </si>
  <si>
    <t>Onlem</t>
  </si>
  <si>
    <t>Kotü isikta analiz hatasi</t>
  </si>
  <si>
    <t>Guven kaybi</t>
  </si>
  <si>
    <t>Yuksek retake ve dusuk helpfulness</t>
  </si>
  <si>
    <t>Kalite kontrol + fallback</t>
  </si>
  <si>
    <t>Erkek segmenti zayif kalir</t>
  </si>
  <si>
    <t>TAM kuculur</t>
  </si>
  <si>
    <t>Erkek onboarding drop ve dusuk CTR</t>
  </si>
  <si>
    <t>Ayrik kreatif ve feed dilinin test edilmesi</t>
  </si>
  <si>
    <t>Affiliate urun kalitesi duser</t>
  </si>
  <si>
    <t>Marka asinir</t>
  </si>
  <si>
    <t>Yuksek bounce ve dusuk save</t>
  </si>
  <si>
    <t>Kurasyon ve skor tavani</t>
  </si>
  <si>
    <t>Veri gizliligi endisesi</t>
  </si>
  <si>
    <t>Store review ve churn</t>
  </si>
  <si>
    <t>Yuksek delete-account, destek sorulari</t>
  </si>
  <si>
    <t>Kisa retention ve self-serve privacy center</t>
  </si>
  <si>
    <t>Stack karmasikligi artar</t>
  </si>
  <si>
    <t>Teslim hizinin dusmesi</t>
  </si>
  <si>
    <t>Bug cycle uzar</t>
  </si>
  <si>
    <t>Moduler servis sorumluluklari ve kucuk teknik yigin</t>
  </si>
  <si>
    <t>Sources</t>
  </si>
  <si>
    <t>Kararlarin dayandigi guncel dis kaynaklar</t>
  </si>
  <si>
    <t>Kategori</t>
  </si>
  <si>
    <t>Kaynak</t>
  </si>
  <si>
    <t>URL</t>
  </si>
  <si>
    <t>Neden Önemli</t>
  </si>
  <si>
    <t>Mobile</t>
  </si>
  <si>
    <t>Expo Router</t>
  </si>
  <si>
    <t>https://docs.expo.dev/router/introduction/</t>
  </si>
  <si>
    <t>Dosya tabanli navigasyon ve Expo merkezli uygulama yapisi icin referans.</t>
  </si>
  <si>
    <t>Expo Camera</t>
  </si>
  <si>
    <t>https://docs.expo.dev/versions/latest/sdk/camera/</t>
  </si>
  <si>
    <t>Capture deneyimi ve izin akisinin teknik zemini.</t>
  </si>
  <si>
    <t>Expo ImagePicker</t>
  </si>
  <si>
    <t>https://docs.expo.dev/versions/latest/sdk/imagepicker/</t>
  </si>
  <si>
    <t>Galeriden selfie secimi ve medya izinleri.</t>
  </si>
  <si>
    <t>Backend</t>
  </si>
  <si>
    <t>Supabase with Expo</t>
  </si>
  <si>
    <t>https://supabase.com/docs/guides/getting-started/tutorials/with-expo-react-native</t>
  </si>
  <si>
    <t>Auth ve veri katmaninin Expo ile uyumu.</t>
  </si>
  <si>
    <t>Supabase RLS</t>
  </si>
  <si>
    <t>https://supabase.com/docs/guides/database/postgres/row-level-security</t>
  </si>
  <si>
    <t>Kullanici verisinde cekirdek guvenlik modeli.</t>
  </si>
  <si>
    <t>Supabase Signed Uploads</t>
  </si>
  <si>
    <t>https://supabase.com/docs/guides/storage/uploads/s3-uploads/signed-uploads</t>
  </si>
  <si>
    <t>Private selfie upload akisi icin temel mekanizma.</t>
  </si>
  <si>
    <t>AI</t>
  </si>
  <si>
    <t>Cloud Run</t>
  </si>
  <si>
    <t>https://cloud.google.com/run/docs/overview/what-is-cloud-run</t>
  </si>
  <si>
    <t>AI worker'i yonetilen container olarak calistirmak icin.</t>
  </si>
  <si>
    <t>MediaPipe Face Landmarker</t>
  </si>
  <si>
    <t>https://developers.google.com/mediapipe/solutions/vision/face_landmarker</t>
  </si>
  <si>
    <t>Yuz ROI cikarmanin teknik zemini.</t>
  </si>
  <si>
    <t>RevenueCat React Native</t>
  </si>
  <si>
    <t>https://www.revenuecat.com/docs/getting-started/installation/reactnative</t>
  </si>
  <si>
    <t>Cross-platform subscription operasyonu.</t>
  </si>
  <si>
    <t>Competition</t>
  </si>
  <si>
    <t>https://style-dna.com/</t>
  </si>
  <si>
    <t>Kategori hareketini wardrobe + commerce yonune gosteren rakip.</t>
  </si>
  <si>
    <t>Colorwise</t>
  </si>
  <si>
    <t>https://colorwise.me/self-guided-color-analysis</t>
  </si>
  <si>
    <t>Self-service renk analizi talebinin gostergesi.</t>
  </si>
  <si>
    <t>Policy</t>
  </si>
  <si>
    <t>Apple App Privacy</t>
  </si>
  <si>
    <t>https://developer.apple.com/app-store/app-privacy-details/</t>
  </si>
  <si>
    <t>Veri aciklamalari ve store oncesi uyumluluk gereksinimi.</t>
  </si>
  <si>
    <t>Google Play Data Safety</t>
  </si>
  <si>
    <t>https://support.google.com/googleplay/android-developer/answer/10787469</t>
  </si>
  <si>
    <t>Android veri guvenligi beyaninin temeli.</t>
  </si>
  <si>
    <t>ICO Biometric Data</t>
  </si>
  <si>
    <t>https://ico.org.uk/for-organisations/uk-gdpr-guidance-and-resources/personal-information-biometric-data/what-is-biometric-data-and-how-special-category-data-relates-to-biometric-data/</t>
  </si>
  <si>
    <t>Yuz verisi isleyen urunlerde veri siniflandirmasi icin risk referansi.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</si>
</sst>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8"/>
      <name val="Aptos Display"/>
    </font>
    <font>
      <i/>
      <color rgb="FF6B6259"/>
      <sz val="11"/>
      <name val="Aptos"/>
    </font>
    <font>
      <b/>
      <color rgb="FF2B2520"/>
      <sz val="12"/>
      <name val="Aptos"/>
    </font>
    <font>
      <b/>
      <color rgb="FF9E6D45"/>
    </font>
    <font>
      <color rgb="FF2B2520"/>
      <sz val="10"/>
      <name val="Aptos"/>
    </font>
    <font>
      <b/>
      <color rgb="FFFFFFFF"/>
    </font>
    <font>
      <b/>
    </font>
    <font>
      <u/>
      <color rgb="FF0563C1"/>
    </font>
  </fonts>
  <fills count="8">
    <fill>
      <patternFill patternType="none"/>
    </fill>
    <fill>
      <patternFill patternType="gray125"/>
    </fill>
    <fill>
      <patternFill patternType="solid">
        <fgColor rgb="FF2B2520"/>
      </patternFill>
    </fill>
    <fill>
      <patternFill patternType="solid">
        <fgColor rgb="FFF4EFE8"/>
      </patternFill>
    </fill>
    <fill>
      <patternFill patternType="solid">
        <fgColor rgb="FFF0E1D4"/>
      </patternFill>
    </fill>
    <fill>
      <patternFill patternType="solid">
        <fgColor rgb="FF9E6D45"/>
      </patternFill>
    </fill>
    <fill>
      <patternFill patternType="solid">
        <fgColor rgb="FF3B5A73"/>
      </patternFill>
    </fill>
    <fill>
      <patternFill patternType="solid">
        <fgColor rgb="FF3F6D57"/>
      </patternFill>
    </fill>
  </fills>
  <borders count="2">
    <border>
      <left/>
      <right/>
      <top/>
      <bottom/>
      <diagonal/>
    </border>
    <border>
      <left style="thin">
        <color rgb="FFD7C7B5"/>
      </left>
      <right style="thin">
        <color rgb="FFD7C7B5"/>
      </right>
      <top style="thin">
        <color rgb="FFD7C7B5"/>
      </top>
      <bottom style="thin">
        <color rgb="FFD7C7B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horizontal="left" vertical="top"/>
    </xf>
    <xf numFmtId="2" fontId="7" fillId="4" borderId="1" xfId="0" applyNumberFormat="1" applyFont="1" applyFill="1" applyBorder="1" applyAlignment="1">
      <alignment horizontal="left" vertical="top"/>
    </xf>
    <xf numFmtId="2" fontId="5" fillId="0" borderId="1" xfId="0" applyNumberFormat="1" applyFont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ocs.expo.dev/router/introduction/" TargetMode="External"/><Relationship Id="rId2" Type="http://schemas.openxmlformats.org/officeDocument/2006/relationships/hyperlink" Target="https://docs.expo.dev/versions/latest/sdk/camera/" TargetMode="External"/><Relationship Id="rId3" Type="http://schemas.openxmlformats.org/officeDocument/2006/relationships/hyperlink" Target="https://docs.expo.dev/versions/latest/sdk/imagepicker/" TargetMode="External"/><Relationship Id="rId4" Type="http://schemas.openxmlformats.org/officeDocument/2006/relationships/hyperlink" Target="https://supabase.com/docs/guides/getting-started/tutorials/with-expo-react-native" TargetMode="External"/><Relationship Id="rId5" Type="http://schemas.openxmlformats.org/officeDocument/2006/relationships/hyperlink" Target="https://supabase.com/docs/guides/database/postgres/row-level-security" TargetMode="External"/><Relationship Id="rId6" Type="http://schemas.openxmlformats.org/officeDocument/2006/relationships/hyperlink" Target="https://supabase.com/docs/guides/storage/uploads/s3-uploads/signed-uploads" TargetMode="External"/><Relationship Id="rId7" Type="http://schemas.openxmlformats.org/officeDocument/2006/relationships/hyperlink" Target="https://cloud.google.com/run/docs/overview/what-is-cloud-run" TargetMode="External"/><Relationship Id="rId8" Type="http://schemas.openxmlformats.org/officeDocument/2006/relationships/hyperlink" Target="https://developers.google.com/mediapipe/solutions/vision/face_landmarker" TargetMode="External"/><Relationship Id="rId9" Type="http://schemas.openxmlformats.org/officeDocument/2006/relationships/hyperlink" Target="https://www.revenuecat.com/docs/getting-started/installation/reactnative" TargetMode="External"/><Relationship Id="rId10" Type="http://schemas.openxmlformats.org/officeDocument/2006/relationships/hyperlink" Target="https://style-dna.com/" TargetMode="External"/><Relationship Id="rId11" Type="http://schemas.openxmlformats.org/officeDocument/2006/relationships/hyperlink" Target="https://colorwise.me/self-guided-color-analysis" TargetMode="External"/><Relationship Id="rId12" Type="http://schemas.openxmlformats.org/officeDocument/2006/relationships/hyperlink" Target="https://developer.apple.com/app-store/app-privacy-details/" TargetMode="External"/><Relationship Id="rId13" Type="http://schemas.openxmlformats.org/officeDocument/2006/relationships/hyperlink" Target="https://support.google.com/googleplay/android-developer/answer/10787469" TargetMode="External"/><Relationship Id="rId14" Type="http://schemas.openxmlformats.org/officeDocument/2006/relationships/hyperlink" Target="https://ico.org.uk/for-organisations/uk-gdpr-guidance-and-resources/personal-information-biometric-data/what-is-biometric-data-and-how-special-category-data-relates-to-biometric-dat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8" customWidth="1"/>
    <col min="3" max="3" width="28" customWidth="1"/>
    <col min="4" max="5" width="24" customWidth="1"/>
    <col min="6" max="7" width="26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32" customHeight="1" spans="1:7" x14ac:dyDescent="0.25">
      <c r="A5" s="4" t="s">
        <v>3</v>
      </c>
      <c r="B5" s="5" t="s">
        <v>4</v>
      </c>
      <c r="C5" s="5"/>
      <c r="D5" s="5"/>
      <c r="E5" s="5"/>
      <c r="F5" s="5"/>
      <c r="G5" s="5"/>
    </row>
    <row r="6" ht="32" customHeight="1" spans="1:7" x14ac:dyDescent="0.25">
      <c r="A6" s="4" t="s">
        <v>3</v>
      </c>
      <c r="B6" s="5" t="s">
        <v>5</v>
      </c>
      <c r="C6" s="5"/>
      <c r="D6" s="5"/>
      <c r="E6" s="5"/>
      <c r="F6" s="5"/>
      <c r="G6" s="5"/>
    </row>
    <row r="7" ht="32" customHeight="1" spans="1:7" x14ac:dyDescent="0.25">
      <c r="A7" s="4" t="s">
        <v>3</v>
      </c>
      <c r="B7" s="5" t="s">
        <v>6</v>
      </c>
      <c r="C7" s="5"/>
      <c r="D7" s="5"/>
      <c r="E7" s="5"/>
      <c r="F7" s="5"/>
      <c r="G7" s="5"/>
    </row>
    <row r="9" ht="20" customHeight="1" spans="1:7" x14ac:dyDescent="0.25">
      <c r="A9" s="3" t="s">
        <v>7</v>
      </c>
      <c r="B9" s="3"/>
      <c r="C9" s="3"/>
      <c r="D9" s="3"/>
      <c r="E9" s="3"/>
      <c r="F9" s="3"/>
      <c r="G9" s="3"/>
    </row>
    <row r="10" ht="22" customHeight="1" spans="1:3" x14ac:dyDescent="0.25">
      <c r="A10" s="6" t="s">
        <v>8</v>
      </c>
      <c r="B10" s="6" t="s">
        <v>9</v>
      </c>
      <c r="C10" s="6" t="s">
        <v>10</v>
      </c>
    </row>
    <row r="11" ht="38" customHeight="1" spans="1:3" x14ac:dyDescent="0.25">
      <c r="A11" s="7" t="s">
        <v>11</v>
      </c>
      <c r="B11" s="7" t="s">
        <v>12</v>
      </c>
      <c r="C11" s="7" t="s">
        <v>13</v>
      </c>
    </row>
    <row r="12" ht="38" customHeight="1" spans="1:3" x14ac:dyDescent="0.25">
      <c r="A12" s="5" t="s">
        <v>14</v>
      </c>
      <c r="B12" s="5" t="s">
        <v>15</v>
      </c>
      <c r="C12" s="5" t="s">
        <v>16</v>
      </c>
    </row>
    <row r="13" ht="38" customHeight="1" spans="1:3" x14ac:dyDescent="0.25">
      <c r="A13" s="7" t="s">
        <v>17</v>
      </c>
      <c r="B13" s="7" t="s">
        <v>18</v>
      </c>
      <c r="C13" s="7" t="s">
        <v>19</v>
      </c>
    </row>
    <row r="15" ht="20" customHeight="1" spans="1:7" x14ac:dyDescent="0.25">
      <c r="A15" s="3" t="s">
        <v>20</v>
      </c>
      <c r="B15" s="3"/>
      <c r="C15" s="3"/>
      <c r="D15" s="3"/>
      <c r="E15" s="3"/>
      <c r="F15" s="3"/>
      <c r="G15" s="3"/>
    </row>
    <row r="16" ht="32" customHeight="1" spans="1:7" x14ac:dyDescent="0.25">
      <c r="A16" s="4" t="s">
        <v>3</v>
      </c>
      <c r="B16" s="5" t="s">
        <v>21</v>
      </c>
      <c r="C16" s="5"/>
      <c r="D16" s="5"/>
      <c r="E16" s="5"/>
      <c r="F16" s="5"/>
      <c r="G16" s="5"/>
    </row>
    <row r="17" ht="32" customHeight="1" spans="1:7" x14ac:dyDescent="0.25">
      <c r="A17" s="4" t="s">
        <v>3</v>
      </c>
      <c r="B17" s="5" t="s">
        <v>22</v>
      </c>
      <c r="C17" s="5"/>
      <c r="D17" s="5"/>
      <c r="E17" s="5"/>
      <c r="F17" s="5"/>
      <c r="G17" s="5"/>
    </row>
    <row r="18" ht="32" customHeight="1" spans="1:7" x14ac:dyDescent="0.25">
      <c r="A18" s="4" t="s">
        <v>3</v>
      </c>
      <c r="B18" s="5" t="s">
        <v>23</v>
      </c>
      <c r="C18" s="5"/>
      <c r="D18" s="5"/>
      <c r="E18" s="5"/>
      <c r="F18" s="5"/>
      <c r="G18" s="5"/>
    </row>
    <row r="19" ht="32" customHeight="1" spans="1:7" x14ac:dyDescent="0.25">
      <c r="A19" s="4" t="s">
        <v>3</v>
      </c>
      <c r="B19" s="5" t="s">
        <v>24</v>
      </c>
      <c r="C19" s="5"/>
      <c r="D19" s="5"/>
      <c r="E19" s="5"/>
      <c r="F19" s="5"/>
      <c r="G19" s="5"/>
    </row>
  </sheetData>
  <mergeCells count="12">
    <mergeCell ref="A1:G1"/>
    <mergeCell ref="A2:G2"/>
    <mergeCell ref="A4:G4"/>
    <mergeCell ref="B5:G5"/>
    <mergeCell ref="B6:G6"/>
    <mergeCell ref="B7:G7"/>
    <mergeCell ref="A9:G9"/>
    <mergeCell ref="A15:G15"/>
    <mergeCell ref="B16:G16"/>
    <mergeCell ref="B17:G17"/>
    <mergeCell ref="B18:G18"/>
    <mergeCell ref="B19:G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5" width="24" customWidth="1"/>
    <col min="6" max="7" width="26" customWidth="1"/>
  </cols>
  <sheetData>
    <row r="1" ht="26" customHeight="1" spans="1:7" x14ac:dyDescent="0.25">
      <c r="A1" s="1" t="s">
        <v>25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26</v>
      </c>
      <c r="B2" s="2"/>
      <c r="C2" s="2"/>
      <c r="D2" s="2"/>
      <c r="E2" s="2"/>
      <c r="F2" s="2"/>
      <c r="G2" s="2"/>
    </row>
    <row r="4" ht="20" customHeight="1" spans="1:7" x14ac:dyDescent="0.25">
      <c r="A4" s="3" t="s">
        <v>27</v>
      </c>
      <c r="B4" s="3"/>
      <c r="C4" s="3"/>
      <c r="D4" s="3"/>
      <c r="E4" s="3"/>
      <c r="F4" s="3"/>
      <c r="G4" s="3"/>
    </row>
    <row r="5" ht="22" customHeight="1" spans="1:4" x14ac:dyDescent="0.25">
      <c r="A5" s="6" t="s">
        <v>28</v>
      </c>
      <c r="B5" s="6" t="s">
        <v>29</v>
      </c>
      <c r="C5" s="6" t="s">
        <v>30</v>
      </c>
      <c r="D5" s="6" t="s">
        <v>31</v>
      </c>
    </row>
    <row r="6" ht="38" customHeight="1" spans="1:4" x14ac:dyDescent="0.25">
      <c r="A6" s="7" t="s">
        <v>32</v>
      </c>
      <c r="B6" s="7" t="s">
        <v>33</v>
      </c>
      <c r="C6" s="7" t="s">
        <v>34</v>
      </c>
      <c r="D6" s="7" t="s">
        <v>35</v>
      </c>
    </row>
    <row r="7" ht="38" customHeight="1" spans="1:4" x14ac:dyDescent="0.25">
      <c r="A7" s="5" t="s">
        <v>36</v>
      </c>
      <c r="B7" s="5" t="s">
        <v>37</v>
      </c>
      <c r="C7" s="5" t="s">
        <v>38</v>
      </c>
      <c r="D7" s="5" t="s">
        <v>39</v>
      </c>
    </row>
    <row r="8" ht="38" customHeight="1" spans="1:4" x14ac:dyDescent="0.25">
      <c r="A8" s="7" t="s">
        <v>40</v>
      </c>
      <c r="B8" s="7" t="s">
        <v>41</v>
      </c>
      <c r="C8" s="7" t="s">
        <v>42</v>
      </c>
      <c r="D8" s="7" t="s">
        <v>43</v>
      </c>
    </row>
    <row r="10" ht="20" customHeight="1" spans="1:7" x14ac:dyDescent="0.25">
      <c r="A10" s="3" t="s">
        <v>44</v>
      </c>
      <c r="B10" s="3"/>
      <c r="C10" s="3"/>
      <c r="D10" s="3"/>
      <c r="E10" s="3"/>
      <c r="F10" s="3"/>
      <c r="G10" s="3"/>
    </row>
    <row r="11" ht="32" customHeight="1" spans="1:7" x14ac:dyDescent="0.25">
      <c r="A11" s="4" t="s">
        <v>3</v>
      </c>
      <c r="B11" s="5" t="s">
        <v>45</v>
      </c>
      <c r="C11" s="5"/>
      <c r="D11" s="5"/>
      <c r="E11" s="5"/>
      <c r="F11" s="5"/>
      <c r="G11" s="5"/>
    </row>
    <row r="12" ht="32" customHeight="1" spans="1:7" x14ac:dyDescent="0.25">
      <c r="A12" s="4" t="s">
        <v>3</v>
      </c>
      <c r="B12" s="5" t="s">
        <v>46</v>
      </c>
      <c r="C12" s="5"/>
      <c r="D12" s="5"/>
      <c r="E12" s="5"/>
      <c r="F12" s="5"/>
      <c r="G12" s="5"/>
    </row>
    <row r="13" ht="32" customHeight="1" spans="1:7" x14ac:dyDescent="0.25">
      <c r="A13" s="4" t="s">
        <v>3</v>
      </c>
      <c r="B13" s="5" t="s">
        <v>47</v>
      </c>
      <c r="C13" s="5"/>
      <c r="D13" s="5"/>
      <c r="E13" s="5"/>
      <c r="F13" s="5"/>
      <c r="G13" s="5"/>
    </row>
    <row r="14" ht="32" customHeight="1" spans="1:7" x14ac:dyDescent="0.25">
      <c r="A14" s="4" t="s">
        <v>3</v>
      </c>
      <c r="B14" s="5" t="s">
        <v>48</v>
      </c>
      <c r="C14" s="5"/>
      <c r="D14" s="5"/>
      <c r="E14" s="5"/>
      <c r="F14" s="5"/>
      <c r="G14" s="5"/>
    </row>
  </sheetData>
  <mergeCells count="8">
    <mergeCell ref="A1:G1"/>
    <mergeCell ref="A2:G2"/>
    <mergeCell ref="A4:G4"/>
    <mergeCell ref="A10:G10"/>
    <mergeCell ref="B11:G11"/>
    <mergeCell ref="B12:G12"/>
    <mergeCell ref="B13:G13"/>
    <mergeCell ref="B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32" customWidth="1"/>
    <col min="4" max="4" width="28" customWidth="1"/>
    <col min="5" max="5" width="24" customWidth="1"/>
    <col min="6" max="7" width="26" customWidth="1"/>
  </cols>
  <sheetData>
    <row r="1" ht="26" customHeight="1" spans="1:7" x14ac:dyDescent="0.25">
      <c r="A1" s="1" t="s">
        <v>49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50</v>
      </c>
      <c r="B2" s="2"/>
      <c r="C2" s="2"/>
      <c r="D2" s="2"/>
      <c r="E2" s="2"/>
      <c r="F2" s="2"/>
      <c r="G2" s="2"/>
    </row>
    <row r="4" ht="20" customHeight="1" spans="1:7" x14ac:dyDescent="0.25">
      <c r="A4" s="3" t="s">
        <v>51</v>
      </c>
      <c r="B4" s="3"/>
      <c r="C4" s="3"/>
      <c r="D4" s="3"/>
      <c r="E4" s="3"/>
      <c r="F4" s="3"/>
      <c r="G4" s="3"/>
    </row>
    <row r="5" ht="22" customHeight="1" spans="1:4" x14ac:dyDescent="0.25">
      <c r="A5" s="6" t="s">
        <v>52</v>
      </c>
      <c r="B5" s="6" t="s">
        <v>53</v>
      </c>
      <c r="C5" s="6" t="s">
        <v>54</v>
      </c>
      <c r="D5" s="6" t="s">
        <v>55</v>
      </c>
    </row>
    <row r="6" ht="38" customHeight="1" spans="1:4" x14ac:dyDescent="0.25">
      <c r="A6" s="7" t="s">
        <v>56</v>
      </c>
      <c r="B6" s="7" t="s">
        <v>57</v>
      </c>
      <c r="C6" s="7" t="s">
        <v>58</v>
      </c>
      <c r="D6" s="7" t="s">
        <v>59</v>
      </c>
    </row>
    <row r="7" ht="38" customHeight="1" spans="1:4" x14ac:dyDescent="0.25">
      <c r="A7" s="5" t="s">
        <v>60</v>
      </c>
      <c r="B7" s="5" t="s">
        <v>61</v>
      </c>
      <c r="C7" s="5" t="s">
        <v>62</v>
      </c>
      <c r="D7" s="5" t="s">
        <v>63</v>
      </c>
    </row>
    <row r="8" ht="38" customHeight="1" spans="1:4" x14ac:dyDescent="0.25">
      <c r="A8" s="7" t="s">
        <v>64</v>
      </c>
      <c r="B8" s="7" t="s">
        <v>65</v>
      </c>
      <c r="C8" s="7" t="s">
        <v>66</v>
      </c>
      <c r="D8" s="7" t="s">
        <v>67</v>
      </c>
    </row>
    <row r="10" ht="20" customHeight="1" spans="1:7" x14ac:dyDescent="0.25">
      <c r="A10" s="3" t="s">
        <v>68</v>
      </c>
      <c r="B10" s="3"/>
      <c r="C10" s="3"/>
      <c r="D10" s="3"/>
      <c r="E10" s="3"/>
      <c r="F10" s="3"/>
      <c r="G10" s="3"/>
    </row>
    <row r="11" ht="22" customHeight="1" spans="1:3" x14ac:dyDescent="0.25">
      <c r="A11" s="6" t="s">
        <v>69</v>
      </c>
      <c r="B11" s="6" t="s">
        <v>70</v>
      </c>
      <c r="C11" s="6" t="s">
        <v>71</v>
      </c>
    </row>
    <row r="12" ht="38" customHeight="1" spans="1:3" x14ac:dyDescent="0.25">
      <c r="A12" s="7" t="s">
        <v>72</v>
      </c>
      <c r="B12" s="7" t="s">
        <v>73</v>
      </c>
      <c r="C12" s="7" t="s">
        <v>74</v>
      </c>
    </row>
    <row r="13" ht="38" customHeight="1" spans="1:3" x14ac:dyDescent="0.25">
      <c r="A13" s="5" t="s">
        <v>75</v>
      </c>
      <c r="B13" s="5" t="s">
        <v>76</v>
      </c>
      <c r="C13" s="5" t="s">
        <v>77</v>
      </c>
    </row>
    <row r="14" ht="38" customHeight="1" spans="1:3" x14ac:dyDescent="0.25">
      <c r="A14" s="7" t="s">
        <v>78</v>
      </c>
      <c r="B14" s="7" t="s">
        <v>79</v>
      </c>
      <c r="C14" s="7" t="s">
        <v>80</v>
      </c>
    </row>
  </sheetData>
  <mergeCells count="4">
    <mergeCell ref="A1:G1"/>
    <mergeCell ref="A2:G2"/>
    <mergeCell ref="A4:G4"/>
    <mergeCell ref="A10:G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5" width="24" customWidth="1"/>
    <col min="6" max="7" width="26" customWidth="1"/>
  </cols>
  <sheetData>
    <row r="1" ht="26" customHeight="1" spans="1:7" x14ac:dyDescent="0.25">
      <c r="A1" s="1" t="s">
        <v>81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82</v>
      </c>
      <c r="B2" s="2"/>
      <c r="C2" s="2"/>
      <c r="D2" s="2"/>
      <c r="E2" s="2"/>
      <c r="F2" s="2"/>
      <c r="G2" s="2"/>
    </row>
    <row r="4" ht="20" customHeight="1" spans="1:7" x14ac:dyDescent="0.25">
      <c r="A4" s="3" t="s">
        <v>83</v>
      </c>
      <c r="B4" s="3"/>
      <c r="C4" s="3"/>
      <c r="D4" s="3"/>
      <c r="E4" s="3"/>
      <c r="F4" s="3"/>
      <c r="G4" s="3"/>
    </row>
    <row r="5" ht="32" customHeight="1" spans="1:7" x14ac:dyDescent="0.25">
      <c r="A5" s="4" t="s">
        <v>3</v>
      </c>
      <c r="B5" s="5" t="s">
        <v>84</v>
      </c>
      <c r="C5" s="5"/>
      <c r="D5" s="5"/>
      <c r="E5" s="5"/>
      <c r="F5" s="5"/>
      <c r="G5" s="5"/>
    </row>
    <row r="6" ht="32" customHeight="1" spans="1:7" x14ac:dyDescent="0.25">
      <c r="A6" s="4" t="s">
        <v>3</v>
      </c>
      <c r="B6" s="5" t="s">
        <v>85</v>
      </c>
      <c r="C6" s="5"/>
      <c r="D6" s="5"/>
      <c r="E6" s="5"/>
      <c r="F6" s="5"/>
      <c r="G6" s="5"/>
    </row>
    <row r="7" ht="32" customHeight="1" spans="1:7" x14ac:dyDescent="0.25">
      <c r="A7" s="4" t="s">
        <v>3</v>
      </c>
      <c r="B7" s="5" t="s">
        <v>86</v>
      </c>
      <c r="C7" s="5"/>
      <c r="D7" s="5"/>
      <c r="E7" s="5"/>
      <c r="F7" s="5"/>
      <c r="G7" s="5"/>
    </row>
    <row r="9" ht="20" customHeight="1" spans="1:7" x14ac:dyDescent="0.25">
      <c r="A9" s="3" t="s">
        <v>87</v>
      </c>
      <c r="B9" s="3"/>
      <c r="C9" s="3"/>
      <c r="D9" s="3"/>
      <c r="E9" s="3"/>
      <c r="F9" s="3"/>
      <c r="G9" s="3"/>
    </row>
    <row r="10" ht="22" customHeight="1" spans="1:3" x14ac:dyDescent="0.25">
      <c r="A10" s="6" t="s">
        <v>88</v>
      </c>
      <c r="B10" s="6" t="s">
        <v>89</v>
      </c>
      <c r="C10" s="6" t="s">
        <v>90</v>
      </c>
    </row>
    <row r="11" ht="38" customHeight="1" spans="1:3" x14ac:dyDescent="0.25">
      <c r="A11" s="7" t="s">
        <v>91</v>
      </c>
      <c r="B11" s="7" t="s">
        <v>92</v>
      </c>
      <c r="C11" s="7" t="s">
        <v>93</v>
      </c>
    </row>
    <row r="12" ht="38" customHeight="1" spans="1:3" x14ac:dyDescent="0.25">
      <c r="A12" s="5" t="s">
        <v>94</v>
      </c>
      <c r="B12" s="5" t="s">
        <v>92</v>
      </c>
      <c r="C12" s="5" t="s">
        <v>95</v>
      </c>
    </row>
    <row r="13" ht="38" customHeight="1" spans="1:3" x14ac:dyDescent="0.25">
      <c r="A13" s="7" t="s">
        <v>96</v>
      </c>
      <c r="B13" s="7" t="s">
        <v>92</v>
      </c>
      <c r="C13" s="7" t="s">
        <v>97</v>
      </c>
    </row>
    <row r="14" ht="38" customHeight="1" spans="1:3" x14ac:dyDescent="0.25">
      <c r="A14" s="5" t="s">
        <v>98</v>
      </c>
      <c r="B14" s="5" t="s">
        <v>99</v>
      </c>
      <c r="C14" s="5" t="s">
        <v>92</v>
      </c>
    </row>
    <row r="15" ht="38" customHeight="1" spans="1:3" x14ac:dyDescent="0.25">
      <c r="A15" s="7" t="s">
        <v>100</v>
      </c>
      <c r="B15" s="7" t="s">
        <v>99</v>
      </c>
      <c r="C15" s="7" t="s">
        <v>92</v>
      </c>
    </row>
    <row r="16" ht="38" customHeight="1" spans="1:3" x14ac:dyDescent="0.25">
      <c r="A16" s="5" t="s">
        <v>101</v>
      </c>
      <c r="B16" s="5" t="s">
        <v>99</v>
      </c>
      <c r="C16" s="5" t="s">
        <v>102</v>
      </c>
    </row>
    <row r="18" ht="20" customHeight="1" spans="1:7" x14ac:dyDescent="0.25">
      <c r="A18" s="3" t="s">
        <v>103</v>
      </c>
      <c r="B18" s="3"/>
      <c r="C18" s="3"/>
      <c r="D18" s="3"/>
      <c r="E18" s="3"/>
      <c r="F18" s="3"/>
      <c r="G18" s="3"/>
    </row>
    <row r="19" ht="32" customHeight="1" spans="1:7" x14ac:dyDescent="0.25">
      <c r="A19" s="4" t="s">
        <v>3</v>
      </c>
      <c r="B19" s="5" t="s">
        <v>104</v>
      </c>
      <c r="C19" s="5"/>
      <c r="D19" s="5"/>
      <c r="E19" s="5"/>
      <c r="F19" s="5"/>
      <c r="G19" s="5"/>
    </row>
    <row r="20" ht="32" customHeight="1" spans="1:7" x14ac:dyDescent="0.25">
      <c r="A20" s="4" t="s">
        <v>3</v>
      </c>
      <c r="B20" s="5" t="s">
        <v>105</v>
      </c>
      <c r="C20" s="5"/>
      <c r="D20" s="5"/>
      <c r="E20" s="5"/>
      <c r="F20" s="5"/>
      <c r="G20" s="5"/>
    </row>
    <row r="21" ht="32" customHeight="1" spans="1:7" x14ac:dyDescent="0.25">
      <c r="A21" s="4" t="s">
        <v>3</v>
      </c>
      <c r="B21" s="5" t="s">
        <v>106</v>
      </c>
      <c r="C21" s="5"/>
      <c r="D21" s="5"/>
      <c r="E21" s="5"/>
      <c r="F21" s="5"/>
      <c r="G21" s="5"/>
    </row>
    <row r="22" ht="32" customHeight="1" spans="1:7" x14ac:dyDescent="0.25">
      <c r="A22" s="4" t="s">
        <v>3</v>
      </c>
      <c r="B22" s="5" t="s">
        <v>107</v>
      </c>
      <c r="C22" s="5"/>
      <c r="D22" s="5"/>
      <c r="E22" s="5"/>
      <c r="F22" s="5"/>
      <c r="G22" s="5"/>
    </row>
  </sheetData>
  <mergeCells count="12">
    <mergeCell ref="A1:G1"/>
    <mergeCell ref="A2:G2"/>
    <mergeCell ref="A4:G4"/>
    <mergeCell ref="B5:G5"/>
    <mergeCell ref="B6:G6"/>
    <mergeCell ref="B7:G7"/>
    <mergeCell ref="A9:G9"/>
    <mergeCell ref="A18:G18"/>
    <mergeCell ref="B19:G19"/>
    <mergeCell ref="B20:G20"/>
    <mergeCell ref="B21:G21"/>
    <mergeCell ref="B22:G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5" width="24" customWidth="1"/>
    <col min="6" max="7" width="26" customWidth="1"/>
  </cols>
  <sheetData>
    <row r="1" ht="26" customHeight="1" spans="1:7" x14ac:dyDescent="0.25">
      <c r="A1" s="1" t="s">
        <v>108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109</v>
      </c>
      <c r="B2" s="2"/>
      <c r="C2" s="2"/>
      <c r="D2" s="2"/>
      <c r="E2" s="2"/>
      <c r="F2" s="2"/>
      <c r="G2" s="2"/>
    </row>
    <row r="4" ht="20" customHeight="1" spans="1:7" x14ac:dyDescent="0.25">
      <c r="A4" s="3" t="s">
        <v>110</v>
      </c>
      <c r="B4" s="3"/>
      <c r="C4" s="3"/>
      <c r="D4" s="3"/>
      <c r="E4" s="3"/>
      <c r="F4" s="3"/>
      <c r="G4" s="3"/>
    </row>
    <row r="5" ht="32" customHeight="1" spans="1:7" x14ac:dyDescent="0.25">
      <c r="A5" s="4" t="s">
        <v>3</v>
      </c>
      <c r="B5" s="5" t="s">
        <v>111</v>
      </c>
      <c r="C5" s="5"/>
      <c r="D5" s="5"/>
      <c r="E5" s="5"/>
      <c r="F5" s="5"/>
      <c r="G5" s="5"/>
    </row>
    <row r="6" ht="32" customHeight="1" spans="1:7" x14ac:dyDescent="0.25">
      <c r="A6" s="4" t="s">
        <v>3</v>
      </c>
      <c r="B6" s="5" t="s">
        <v>112</v>
      </c>
      <c r="C6" s="5"/>
      <c r="D6" s="5"/>
      <c r="E6" s="5"/>
      <c r="F6" s="5"/>
      <c r="G6" s="5"/>
    </row>
    <row r="7" ht="32" customHeight="1" spans="1:7" x14ac:dyDescent="0.25">
      <c r="A7" s="4" t="s">
        <v>3</v>
      </c>
      <c r="B7" s="5" t="s">
        <v>113</v>
      </c>
      <c r="C7" s="5"/>
      <c r="D7" s="5"/>
      <c r="E7" s="5"/>
      <c r="F7" s="5"/>
      <c r="G7" s="5"/>
    </row>
    <row r="9" ht="20" customHeight="1" spans="1:7" x14ac:dyDescent="0.25">
      <c r="A9" s="3" t="s">
        <v>114</v>
      </c>
      <c r="B9" s="3"/>
      <c r="C9" s="3"/>
      <c r="D9" s="3"/>
      <c r="E9" s="3"/>
      <c r="F9" s="3"/>
      <c r="G9" s="3"/>
    </row>
    <row r="10" ht="22" customHeight="1" spans="1:3" x14ac:dyDescent="0.25">
      <c r="A10" s="6" t="s">
        <v>115</v>
      </c>
      <c r="B10" s="6" t="s">
        <v>116</v>
      </c>
      <c r="C10" s="6" t="s">
        <v>117</v>
      </c>
    </row>
    <row r="11" ht="38" customHeight="1" spans="1:3" x14ac:dyDescent="0.25">
      <c r="A11" s="7" t="s">
        <v>118</v>
      </c>
      <c r="B11" s="7" t="s">
        <v>119</v>
      </c>
      <c r="C11" s="7" t="s">
        <v>120</v>
      </c>
    </row>
    <row r="12" ht="38" customHeight="1" spans="1:3" x14ac:dyDescent="0.25">
      <c r="A12" s="5" t="s">
        <v>121</v>
      </c>
      <c r="B12" s="5" t="s">
        <v>122</v>
      </c>
      <c r="C12" s="5" t="s">
        <v>123</v>
      </c>
    </row>
    <row r="13" ht="38" customHeight="1" spans="1:3" x14ac:dyDescent="0.25">
      <c r="A13" s="7" t="s">
        <v>124</v>
      </c>
      <c r="B13" s="7" t="s">
        <v>125</v>
      </c>
      <c r="C13" s="7" t="s">
        <v>126</v>
      </c>
    </row>
    <row r="14" ht="38" customHeight="1" spans="1:3" x14ac:dyDescent="0.25">
      <c r="A14" s="5" t="s">
        <v>127</v>
      </c>
      <c r="B14" s="5" t="s">
        <v>128</v>
      </c>
      <c r="C14" s="5" t="s">
        <v>129</v>
      </c>
    </row>
    <row r="15" ht="38" customHeight="1" spans="1:3" x14ac:dyDescent="0.25">
      <c r="A15" s="7" t="s">
        <v>130</v>
      </c>
      <c r="B15" s="7" t="s">
        <v>131</v>
      </c>
      <c r="C15" s="7" t="s">
        <v>132</v>
      </c>
    </row>
    <row r="17" ht="20" customHeight="1" spans="1:7" x14ac:dyDescent="0.25">
      <c r="A17" s="3" t="s">
        <v>133</v>
      </c>
      <c r="B17" s="3"/>
      <c r="C17" s="3"/>
      <c r="D17" s="3"/>
      <c r="E17" s="3"/>
      <c r="F17" s="3"/>
      <c r="G17" s="3"/>
    </row>
    <row r="18" ht="32" customHeight="1" spans="1:7" x14ac:dyDescent="0.25">
      <c r="A18" s="4" t="s">
        <v>3</v>
      </c>
      <c r="B18" s="5" t="s">
        <v>134</v>
      </c>
      <c r="C18" s="5"/>
      <c r="D18" s="5"/>
      <c r="E18" s="5"/>
      <c r="F18" s="5"/>
      <c r="G18" s="5"/>
    </row>
    <row r="19" ht="32" customHeight="1" spans="1:7" x14ac:dyDescent="0.25">
      <c r="A19" s="4" t="s">
        <v>3</v>
      </c>
      <c r="B19" s="5" t="s">
        <v>135</v>
      </c>
      <c r="C19" s="5"/>
      <c r="D19" s="5"/>
      <c r="E19" s="5"/>
      <c r="F19" s="5"/>
      <c r="G19" s="5"/>
    </row>
    <row r="20" ht="32" customHeight="1" spans="1:7" x14ac:dyDescent="0.25">
      <c r="A20" s="4" t="s">
        <v>3</v>
      </c>
      <c r="B20" s="5" t="s">
        <v>136</v>
      </c>
      <c r="C20" s="5"/>
      <c r="D20" s="5"/>
      <c r="E20" s="5"/>
      <c r="F20" s="5"/>
      <c r="G20" s="5"/>
    </row>
  </sheetData>
  <mergeCells count="11">
    <mergeCell ref="A1:G1"/>
    <mergeCell ref="A2:G2"/>
    <mergeCell ref="A4:G4"/>
    <mergeCell ref="B5:G5"/>
    <mergeCell ref="B6:G6"/>
    <mergeCell ref="B7:G7"/>
    <mergeCell ref="A9:G9"/>
    <mergeCell ref="A17:G17"/>
    <mergeCell ref="B18:G18"/>
    <mergeCell ref="B19:G19"/>
    <mergeCell ref="B20:G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8" customWidth="1"/>
    <col min="3" max="5" width="24" customWidth="1"/>
    <col min="6" max="7" width="26" customWidth="1"/>
  </cols>
  <sheetData>
    <row r="1" ht="26" customHeight="1" spans="1:7" x14ac:dyDescent="0.25">
      <c r="A1" s="1" t="s">
        <v>137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138</v>
      </c>
      <c r="B2" s="2"/>
      <c r="C2" s="2"/>
      <c r="D2" s="2"/>
      <c r="E2" s="2"/>
      <c r="F2" s="2"/>
      <c r="G2" s="2"/>
    </row>
    <row r="4" ht="20" customHeight="1" spans="1:7" x14ac:dyDescent="0.25">
      <c r="A4" s="3" t="s">
        <v>139</v>
      </c>
      <c r="B4" s="3"/>
      <c r="C4" s="3"/>
      <c r="D4" s="3"/>
      <c r="E4" s="3"/>
      <c r="F4" s="3"/>
      <c r="G4" s="3"/>
    </row>
    <row r="5" ht="22" customHeight="1" spans="1:3" x14ac:dyDescent="0.25">
      <c r="A5" s="6" t="s">
        <v>140</v>
      </c>
      <c r="B5" s="6" t="s">
        <v>141</v>
      </c>
      <c r="C5" s="6" t="s">
        <v>142</v>
      </c>
    </row>
    <row r="6" ht="38" customHeight="1" spans="1:3" x14ac:dyDescent="0.25">
      <c r="A6" s="7" t="s">
        <v>143</v>
      </c>
      <c r="B6" s="7" t="s">
        <v>144</v>
      </c>
      <c r="C6" s="7" t="s">
        <v>145</v>
      </c>
    </row>
    <row r="7" ht="38" customHeight="1" spans="1:3" x14ac:dyDescent="0.25">
      <c r="A7" s="5" t="s">
        <v>146</v>
      </c>
      <c r="B7" s="5" t="s">
        <v>147</v>
      </c>
      <c r="C7" s="5" t="s">
        <v>148</v>
      </c>
    </row>
    <row r="8" ht="38" customHeight="1" spans="1:3" x14ac:dyDescent="0.25">
      <c r="A8" s="7" t="s">
        <v>149</v>
      </c>
      <c r="B8" s="7" t="s">
        <v>150</v>
      </c>
      <c r="C8" s="7" t="s">
        <v>151</v>
      </c>
    </row>
    <row r="9" ht="38" customHeight="1" spans="1:3" x14ac:dyDescent="0.25">
      <c r="A9" s="5" t="s">
        <v>152</v>
      </c>
      <c r="B9" s="5" t="s">
        <v>153</v>
      </c>
      <c r="C9" s="5" t="s">
        <v>154</v>
      </c>
    </row>
    <row r="10" ht="38" customHeight="1" spans="1:3" x14ac:dyDescent="0.25">
      <c r="A10" s="7" t="s">
        <v>155</v>
      </c>
      <c r="B10" s="7" t="s">
        <v>156</v>
      </c>
      <c r="C10" s="7" t="s">
        <v>157</v>
      </c>
    </row>
    <row r="12" ht="20" customHeight="1" spans="1:7" x14ac:dyDescent="0.25">
      <c r="A12" s="3" t="s">
        <v>158</v>
      </c>
      <c r="B12" s="3"/>
      <c r="C12" s="3"/>
      <c r="D12" s="3"/>
      <c r="E12" s="3"/>
      <c r="F12" s="3"/>
      <c r="G12" s="3"/>
    </row>
    <row r="13" ht="22" customHeight="1" spans="1:3" x14ac:dyDescent="0.25">
      <c r="A13" s="6" t="s">
        <v>159</v>
      </c>
      <c r="B13" s="6" t="s">
        <v>160</v>
      </c>
      <c r="C13" s="6" t="s">
        <v>10</v>
      </c>
    </row>
    <row r="14" ht="38" customHeight="1" spans="1:3" x14ac:dyDescent="0.25">
      <c r="A14" s="7" t="s">
        <v>161</v>
      </c>
      <c r="B14" s="7" t="s">
        <v>162</v>
      </c>
      <c r="C14" s="7" t="s">
        <v>163</v>
      </c>
    </row>
    <row r="15" ht="38" customHeight="1" spans="1:3" x14ac:dyDescent="0.25">
      <c r="A15" s="5" t="s">
        <v>164</v>
      </c>
      <c r="B15" s="5" t="s">
        <v>165</v>
      </c>
      <c r="C15" s="5" t="s">
        <v>166</v>
      </c>
    </row>
    <row r="16" ht="38" customHeight="1" spans="1:3" x14ac:dyDescent="0.25">
      <c r="A16" s="7" t="s">
        <v>167</v>
      </c>
      <c r="B16" s="7" t="s">
        <v>168</v>
      </c>
      <c r="C16" s="7" t="s">
        <v>169</v>
      </c>
    </row>
    <row r="17" ht="38" customHeight="1" spans="1:3" x14ac:dyDescent="0.25">
      <c r="A17" s="5" t="s">
        <v>170</v>
      </c>
      <c r="B17" s="5" t="s">
        <v>171</v>
      </c>
      <c r="C17" s="5" t="s">
        <v>172</v>
      </c>
    </row>
    <row r="19" ht="20" customHeight="1" spans="1:7" x14ac:dyDescent="0.25">
      <c r="A19" s="3" t="s">
        <v>173</v>
      </c>
      <c r="B19" s="3"/>
      <c r="C19" s="3"/>
      <c r="D19" s="3"/>
      <c r="E19" s="3"/>
      <c r="F19" s="3"/>
      <c r="G19" s="3"/>
    </row>
    <row r="20" ht="32" customHeight="1" spans="1:7" x14ac:dyDescent="0.25">
      <c r="A20" s="4" t="s">
        <v>3</v>
      </c>
      <c r="B20" s="5" t="s">
        <v>174</v>
      </c>
      <c r="C20" s="5"/>
      <c r="D20" s="5"/>
      <c r="E20" s="5"/>
      <c r="F20" s="5"/>
      <c r="G20" s="5"/>
    </row>
    <row r="21" ht="32" customHeight="1" spans="1:7" x14ac:dyDescent="0.25">
      <c r="A21" s="4" t="s">
        <v>3</v>
      </c>
      <c r="B21" s="5" t="s">
        <v>175</v>
      </c>
      <c r="C21" s="5"/>
      <c r="D21" s="5"/>
      <c r="E21" s="5"/>
      <c r="F21" s="5"/>
      <c r="G21" s="5"/>
    </row>
    <row r="22" ht="32" customHeight="1" spans="1:7" x14ac:dyDescent="0.25">
      <c r="A22" s="4" t="s">
        <v>3</v>
      </c>
      <c r="B22" s="5" t="s">
        <v>176</v>
      </c>
      <c r="C22" s="5"/>
      <c r="D22" s="5"/>
      <c r="E22" s="5"/>
      <c r="F22" s="5"/>
      <c r="G22" s="5"/>
    </row>
    <row r="23" ht="32" customHeight="1" spans="1:7" x14ac:dyDescent="0.25">
      <c r="A23" s="4" t="s">
        <v>3</v>
      </c>
      <c r="B23" s="5" t="s">
        <v>177</v>
      </c>
      <c r="C23" s="5"/>
      <c r="D23" s="5"/>
      <c r="E23" s="5"/>
      <c r="F23" s="5"/>
      <c r="G23" s="5"/>
    </row>
  </sheetData>
  <mergeCells count="9">
    <mergeCell ref="A1:G1"/>
    <mergeCell ref="A2:G2"/>
    <mergeCell ref="A4:G4"/>
    <mergeCell ref="A12:G12"/>
    <mergeCell ref="A19:G19"/>
    <mergeCell ref="B20:G20"/>
    <mergeCell ref="B21:G21"/>
    <mergeCell ref="B22:G22"/>
    <mergeCell ref="B23:G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4" customWidth="1"/>
    <col min="3" max="3" width="28" customWidth="1"/>
    <col min="4" max="5" width="24" customWidth="1"/>
    <col min="6" max="7" width="26" customWidth="1"/>
  </cols>
  <sheetData>
    <row r="1" ht="26" customHeight="1" spans="1:7" x14ac:dyDescent="0.25">
      <c r="A1" s="1" t="s">
        <v>178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179</v>
      </c>
      <c r="B2" s="2"/>
      <c r="C2" s="2"/>
      <c r="D2" s="2"/>
      <c r="E2" s="2"/>
      <c r="F2" s="2"/>
      <c r="G2" s="2"/>
    </row>
    <row r="4" ht="20" customHeight="1" spans="1:7" x14ac:dyDescent="0.25">
      <c r="A4" s="3" t="s">
        <v>180</v>
      </c>
      <c r="B4" s="3"/>
      <c r="C4" s="3"/>
      <c r="D4" s="3"/>
      <c r="E4" s="3"/>
      <c r="F4" s="3"/>
      <c r="G4" s="3"/>
    </row>
    <row r="5" ht="22" customHeight="1" spans="1:3" x14ac:dyDescent="0.25">
      <c r="A5" s="6" t="s">
        <v>181</v>
      </c>
      <c r="B5" s="6" t="s">
        <v>182</v>
      </c>
      <c r="C5" s="6" t="s">
        <v>183</v>
      </c>
    </row>
    <row r="6" ht="38" customHeight="1" spans="1:3" x14ac:dyDescent="0.25">
      <c r="A6" s="7" t="s">
        <v>184</v>
      </c>
      <c r="B6" s="7" t="s">
        <v>185</v>
      </c>
      <c r="C6" s="7" t="s">
        <v>186</v>
      </c>
    </row>
    <row r="7" ht="38" customHeight="1" spans="1:3" x14ac:dyDescent="0.25">
      <c r="A7" s="5" t="s">
        <v>187</v>
      </c>
      <c r="B7" s="5" t="s">
        <v>188</v>
      </c>
      <c r="C7" s="5" t="s">
        <v>189</v>
      </c>
    </row>
    <row r="8" ht="38" customHeight="1" spans="1:3" x14ac:dyDescent="0.25">
      <c r="A8" s="7" t="s">
        <v>190</v>
      </c>
      <c r="B8" s="7" t="s">
        <v>191</v>
      </c>
      <c r="C8" s="7" t="s">
        <v>192</v>
      </c>
    </row>
    <row r="9" ht="38" customHeight="1" spans="1:3" x14ac:dyDescent="0.25">
      <c r="A9" s="5" t="s">
        <v>193</v>
      </c>
      <c r="B9" s="5" t="s">
        <v>194</v>
      </c>
      <c r="C9" s="5" t="s">
        <v>195</v>
      </c>
    </row>
    <row r="10" ht="38" customHeight="1" spans="1:3" x14ac:dyDescent="0.25">
      <c r="A10" s="7" t="s">
        <v>196</v>
      </c>
      <c r="B10" s="7" t="s">
        <v>197</v>
      </c>
      <c r="C10" s="7" t="s">
        <v>198</v>
      </c>
    </row>
    <row r="11" ht="38" customHeight="1" spans="1:3" x14ac:dyDescent="0.25">
      <c r="A11" s="5" t="s">
        <v>199</v>
      </c>
      <c r="B11" s="5" t="s">
        <v>200</v>
      </c>
      <c r="C11" s="5" t="s">
        <v>201</v>
      </c>
    </row>
    <row r="13" ht="20" customHeight="1" spans="1:7" x14ac:dyDescent="0.25">
      <c r="A13" s="3" t="s">
        <v>202</v>
      </c>
      <c r="B13" s="3"/>
      <c r="C13" s="3"/>
      <c r="D13" s="3"/>
      <c r="E13" s="3"/>
      <c r="F13" s="3"/>
      <c r="G13" s="3"/>
    </row>
    <row r="14" ht="32" customHeight="1" spans="1:7" x14ac:dyDescent="0.25">
      <c r="A14" s="4" t="s">
        <v>3</v>
      </c>
      <c r="B14" s="5" t="s">
        <v>203</v>
      </c>
      <c r="C14" s="5"/>
      <c r="D14" s="5"/>
      <c r="E14" s="5"/>
      <c r="F14" s="5"/>
      <c r="G14" s="5"/>
    </row>
    <row r="15" ht="32" customHeight="1" spans="1:7" x14ac:dyDescent="0.25">
      <c r="A15" s="4" t="s">
        <v>3</v>
      </c>
      <c r="B15" s="5" t="s">
        <v>204</v>
      </c>
      <c r="C15" s="5"/>
      <c r="D15" s="5"/>
      <c r="E15" s="5"/>
      <c r="F15" s="5"/>
      <c r="G15" s="5"/>
    </row>
    <row r="16" ht="32" customHeight="1" spans="1:7" x14ac:dyDescent="0.25">
      <c r="A16" s="4" t="s">
        <v>3</v>
      </c>
      <c r="B16" s="5" t="s">
        <v>205</v>
      </c>
      <c r="C16" s="5"/>
      <c r="D16" s="5"/>
      <c r="E16" s="5"/>
      <c r="F16" s="5"/>
      <c r="G16" s="5"/>
    </row>
    <row r="17" ht="32" customHeight="1" spans="1:7" x14ac:dyDescent="0.25">
      <c r="A17" s="4" t="s">
        <v>3</v>
      </c>
      <c r="B17" s="5" t="s">
        <v>206</v>
      </c>
      <c r="C17" s="5"/>
      <c r="D17" s="5"/>
      <c r="E17" s="5"/>
      <c r="F17" s="5"/>
      <c r="G17" s="5"/>
    </row>
  </sheetData>
  <mergeCells count="8">
    <mergeCell ref="A1:G1"/>
    <mergeCell ref="A2:G2"/>
    <mergeCell ref="A4:G4"/>
    <mergeCell ref="A13:G13"/>
    <mergeCell ref="B14:G14"/>
    <mergeCell ref="B15:G15"/>
    <mergeCell ref="B16:G16"/>
    <mergeCell ref="B17:G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22" customWidth="1"/>
    <col min="4" max="5" width="24" customWidth="1"/>
    <col min="6" max="7" width="26" customWidth="1"/>
  </cols>
  <sheetData>
    <row r="1" ht="26" customHeight="1" spans="1:7" x14ac:dyDescent="0.25">
      <c r="A1" s="1" t="s">
        <v>207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208</v>
      </c>
      <c r="B2" s="2"/>
      <c r="C2" s="2"/>
      <c r="D2" s="2"/>
      <c r="E2" s="2"/>
      <c r="F2" s="2"/>
      <c r="G2" s="2"/>
    </row>
    <row r="4" ht="20" customHeight="1" spans="1:7" x14ac:dyDescent="0.25">
      <c r="A4" s="3" t="s">
        <v>209</v>
      </c>
      <c r="B4" s="3"/>
      <c r="C4" s="3"/>
      <c r="D4" s="3"/>
      <c r="E4" s="3"/>
      <c r="F4" s="3"/>
      <c r="G4" s="3"/>
    </row>
    <row r="5" ht="22" customHeight="1" spans="1:5" x14ac:dyDescent="0.25">
      <c r="A5" s="8" t="s">
        <v>210</v>
      </c>
      <c r="B5" s="8" t="s">
        <v>211</v>
      </c>
      <c r="C5" s="8" t="s">
        <v>212</v>
      </c>
      <c r="D5" s="8" t="s">
        <v>213</v>
      </c>
      <c r="E5" s="8" t="s">
        <v>214</v>
      </c>
    </row>
    <row r="6" ht="30" customHeight="1" spans="1:5" x14ac:dyDescent="0.25">
      <c r="A6" s="5" t="s">
        <v>215</v>
      </c>
      <c r="B6" s="5">
        <v>25</v>
      </c>
      <c r="C6" s="5">
        <v>9</v>
      </c>
      <c r="D6" s="5">
        <v>8</v>
      </c>
      <c r="E6" s="5">
        <v>5</v>
      </c>
    </row>
    <row r="7" ht="30" customHeight="1" spans="1:5" x14ac:dyDescent="0.25">
      <c r="A7" s="5" t="s">
        <v>216</v>
      </c>
      <c r="B7" s="5">
        <v>20</v>
      </c>
      <c r="C7" s="5">
        <v>9</v>
      </c>
      <c r="D7" s="5">
        <v>7</v>
      </c>
      <c r="E7" s="5">
        <v>4</v>
      </c>
    </row>
    <row r="8" ht="30" customHeight="1" spans="1:5" x14ac:dyDescent="0.25">
      <c r="A8" s="5" t="s">
        <v>217</v>
      </c>
      <c r="B8" s="5">
        <v>20</v>
      </c>
      <c r="C8" s="5">
        <v>9</v>
      </c>
      <c r="D8" s="5">
        <v>7</v>
      </c>
      <c r="E8" s="5">
        <v>8</v>
      </c>
    </row>
    <row r="9" ht="30" customHeight="1" spans="1:5" x14ac:dyDescent="0.25">
      <c r="A9" s="5" t="s">
        <v>218</v>
      </c>
      <c r="B9" s="5">
        <v>15</v>
      </c>
      <c r="C9" s="5">
        <v>9</v>
      </c>
      <c r="D9" s="5">
        <v>6</v>
      </c>
      <c r="E9" s="5">
        <v>7</v>
      </c>
    </row>
    <row r="10" ht="30" customHeight="1" spans="1:5" x14ac:dyDescent="0.25">
      <c r="A10" s="5" t="s">
        <v>219</v>
      </c>
      <c r="B10" s="5">
        <v>10</v>
      </c>
      <c r="C10" s="5">
        <v>8</v>
      </c>
      <c r="D10" s="5">
        <v>7</v>
      </c>
      <c r="E10" s="5">
        <v>8</v>
      </c>
    </row>
    <row r="11" ht="30" customHeight="1" spans="1:5" x14ac:dyDescent="0.25">
      <c r="A11" s="5" t="s">
        <v>220</v>
      </c>
      <c r="B11" s="5">
        <v>10</v>
      </c>
      <c r="C11" s="5">
        <v>8</v>
      </c>
      <c r="D11" s="5">
        <v>8</v>
      </c>
      <c r="E11" s="5">
        <v>5</v>
      </c>
    </row>
    <row r="13" ht="22" customHeight="1" spans="1:5" x14ac:dyDescent="0.25">
      <c r="A13" s="9" t="s">
        <v>221</v>
      </c>
      <c r="B13" s="10" t="s">
        <v>222</v>
      </c>
      <c r="C13" s="10">
        <f>SUMPRODUCT(B6:B11,C6:C11)/100</f>
      </c>
      <c r="D13" s="10">
        <f>SUMPRODUCT(B6:B11,D6:D11)/100</f>
      </c>
      <c r="E13" s="10">
        <f>SUMPRODUCT(B6:B11,E6:E11)/100</f>
      </c>
    </row>
    <row r="15" ht="20" customHeight="1" spans="1:7" x14ac:dyDescent="0.25">
      <c r="A15" s="3" t="s">
        <v>223</v>
      </c>
      <c r="B15" s="3"/>
      <c r="C15" s="3"/>
      <c r="D15" s="3"/>
      <c r="E15" s="3"/>
      <c r="F15" s="3"/>
      <c r="G15" s="3"/>
    </row>
    <row r="16" ht="32" customHeight="1" spans="1:7" x14ac:dyDescent="0.25">
      <c r="A16" s="4" t="s">
        <v>3</v>
      </c>
      <c r="B16" s="5" t="s">
        <v>224</v>
      </c>
      <c r="C16" s="5"/>
      <c r="D16" s="5"/>
      <c r="E16" s="5"/>
      <c r="F16" s="5"/>
      <c r="G16" s="5"/>
    </row>
    <row r="17" ht="32" customHeight="1" spans="1:7" x14ac:dyDescent="0.25">
      <c r="A17" s="4" t="s">
        <v>3</v>
      </c>
      <c r="B17" s="5" t="s">
        <v>225</v>
      </c>
      <c r="C17" s="5"/>
      <c r="D17" s="5"/>
      <c r="E17" s="5"/>
      <c r="F17" s="5"/>
      <c r="G17" s="5"/>
    </row>
    <row r="18" ht="32" customHeight="1" spans="1:7" x14ac:dyDescent="0.25">
      <c r="A18" s="4" t="s">
        <v>3</v>
      </c>
      <c r="B18" s="5" t="s">
        <v>226</v>
      </c>
      <c r="C18" s="5"/>
      <c r="D18" s="5"/>
      <c r="E18" s="5"/>
      <c r="F18" s="5"/>
      <c r="G18" s="5"/>
    </row>
  </sheetData>
  <mergeCells count="7">
    <mergeCell ref="A1:G1"/>
    <mergeCell ref="A2:G2"/>
    <mergeCell ref="A4:G4"/>
    <mergeCell ref="A15:G15"/>
    <mergeCell ref="B16:G16"/>
    <mergeCell ref="B17:G17"/>
    <mergeCell ref="B18:G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28" customWidth="1"/>
    <col min="4" max="5" width="24" customWidth="1"/>
    <col min="6" max="7" width="26" customWidth="1"/>
  </cols>
  <sheetData>
    <row r="1" ht="26" customHeight="1" spans="1:7" x14ac:dyDescent="0.25">
      <c r="A1" s="1" t="s">
        <v>227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228</v>
      </c>
      <c r="B2" s="2"/>
      <c r="C2" s="2"/>
      <c r="D2" s="2"/>
      <c r="E2" s="2"/>
      <c r="F2" s="2"/>
      <c r="G2" s="2"/>
    </row>
    <row r="4" ht="20" customHeight="1" spans="1:7" x14ac:dyDescent="0.25">
      <c r="A4" s="3" t="s">
        <v>229</v>
      </c>
      <c r="B4" s="3"/>
      <c r="C4" s="3"/>
      <c r="D4" s="3"/>
      <c r="E4" s="3"/>
      <c r="F4" s="3"/>
      <c r="G4" s="3"/>
    </row>
    <row r="5" ht="22" customHeight="1" spans="1:3" x14ac:dyDescent="0.25">
      <c r="A5" s="6" t="s">
        <v>230</v>
      </c>
      <c r="B5" s="6" t="s">
        <v>117</v>
      </c>
      <c r="C5" s="6" t="s">
        <v>10</v>
      </c>
    </row>
    <row r="6" ht="38" customHeight="1" spans="1:3" x14ac:dyDescent="0.25">
      <c r="A6" s="7" t="s">
        <v>231</v>
      </c>
      <c r="B6" s="7" t="s">
        <v>232</v>
      </c>
      <c r="C6" s="7" t="s">
        <v>233</v>
      </c>
    </row>
    <row r="7" ht="38" customHeight="1" spans="1:3" x14ac:dyDescent="0.25">
      <c r="A7" s="5" t="s">
        <v>234</v>
      </c>
      <c r="B7" s="5" t="s">
        <v>235</v>
      </c>
      <c r="C7" s="5" t="s">
        <v>236</v>
      </c>
    </row>
    <row r="8" ht="38" customHeight="1" spans="1:3" x14ac:dyDescent="0.25">
      <c r="A8" s="7" t="s">
        <v>237</v>
      </c>
      <c r="B8" s="7" t="s">
        <v>238</v>
      </c>
      <c r="C8" s="7" t="s">
        <v>239</v>
      </c>
    </row>
    <row r="9" ht="38" customHeight="1" spans="1:3" x14ac:dyDescent="0.25">
      <c r="A9" s="5" t="s">
        <v>240</v>
      </c>
      <c r="B9" s="5" t="s">
        <v>241</v>
      </c>
      <c r="C9" s="5" t="s">
        <v>242</v>
      </c>
    </row>
    <row r="11" ht="20" customHeight="1" spans="1:7" x14ac:dyDescent="0.25">
      <c r="A11" s="3" t="s">
        <v>243</v>
      </c>
      <c r="B11" s="3"/>
      <c r="C11" s="3"/>
      <c r="D11" s="3"/>
      <c r="E11" s="3"/>
      <c r="F11" s="3"/>
      <c r="G11" s="3"/>
    </row>
    <row r="12" ht="22" customHeight="1" spans="1:3" x14ac:dyDescent="0.25">
      <c r="A12" s="6" t="s">
        <v>244</v>
      </c>
      <c r="B12" s="6" t="s">
        <v>245</v>
      </c>
      <c r="C12" s="6" t="s">
        <v>160</v>
      </c>
    </row>
    <row r="13" ht="38" customHeight="1" spans="1:3" x14ac:dyDescent="0.25">
      <c r="A13" s="7" t="s">
        <v>246</v>
      </c>
      <c r="B13" s="7" t="s">
        <v>247</v>
      </c>
      <c r="C13" s="7" t="s">
        <v>248</v>
      </c>
    </row>
    <row r="14" ht="38" customHeight="1" spans="1:3" x14ac:dyDescent="0.25">
      <c r="A14" s="5" t="s">
        <v>249</v>
      </c>
      <c r="B14" s="5" t="s">
        <v>250</v>
      </c>
      <c r="C14" s="5" t="s">
        <v>251</v>
      </c>
    </row>
    <row r="15" ht="38" customHeight="1" spans="1:3" x14ac:dyDescent="0.25">
      <c r="A15" s="7" t="s">
        <v>252</v>
      </c>
      <c r="B15" s="7" t="s">
        <v>253</v>
      </c>
      <c r="C15" s="7" t="s">
        <v>254</v>
      </c>
    </row>
    <row r="17" ht="20" customHeight="1" spans="1:7" x14ac:dyDescent="0.25">
      <c r="A17" s="3" t="s">
        <v>255</v>
      </c>
      <c r="B17" s="3"/>
      <c r="C17" s="3"/>
      <c r="D17" s="3"/>
      <c r="E17" s="3"/>
      <c r="F17" s="3"/>
      <c r="G17" s="3"/>
    </row>
    <row r="18" ht="22" customHeight="1" spans="1:3" x14ac:dyDescent="0.25">
      <c r="A18" s="6" t="s">
        <v>181</v>
      </c>
      <c r="B18" s="6" t="s">
        <v>159</v>
      </c>
      <c r="C18" s="6" t="s">
        <v>183</v>
      </c>
    </row>
    <row r="19" ht="38" customHeight="1" spans="1:3" x14ac:dyDescent="0.25">
      <c r="A19" s="7" t="s">
        <v>256</v>
      </c>
      <c r="B19" s="7" t="s">
        <v>257</v>
      </c>
      <c r="C19" s="7" t="s">
        <v>258</v>
      </c>
    </row>
    <row r="20" ht="38" customHeight="1" spans="1:3" x14ac:dyDescent="0.25">
      <c r="A20" s="5" t="s">
        <v>259</v>
      </c>
      <c r="B20" s="5" t="s">
        <v>260</v>
      </c>
      <c r="C20" s="5" t="s">
        <v>261</v>
      </c>
    </row>
    <row r="21" ht="38" customHeight="1" spans="1:3" x14ac:dyDescent="0.25">
      <c r="A21" s="7" t="s">
        <v>262</v>
      </c>
      <c r="B21" s="7" t="s">
        <v>263</v>
      </c>
      <c r="C21" s="7" t="s">
        <v>264</v>
      </c>
    </row>
    <row r="22" ht="38" customHeight="1" spans="1:3" x14ac:dyDescent="0.25">
      <c r="A22" s="5" t="s">
        <v>265</v>
      </c>
      <c r="B22" s="5" t="s">
        <v>266</v>
      </c>
      <c r="C22" s="5" t="s">
        <v>267</v>
      </c>
    </row>
    <row r="23" ht="38" customHeight="1" spans="1:3" x14ac:dyDescent="0.25">
      <c r="A23" s="7" t="s">
        <v>268</v>
      </c>
      <c r="B23" s="7" t="s">
        <v>269</v>
      </c>
      <c r="C23" s="7" t="s">
        <v>270</v>
      </c>
    </row>
  </sheetData>
  <mergeCells count="5">
    <mergeCell ref="A1:G1"/>
    <mergeCell ref="A2:G2"/>
    <mergeCell ref="A4:G4"/>
    <mergeCell ref="A11:G11"/>
    <mergeCell ref="A17:G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8" customWidth="1"/>
    <col min="4" max="5" width="24" customWidth="1"/>
    <col min="6" max="7" width="26" customWidth="1"/>
  </cols>
  <sheetData>
    <row r="1" ht="26" customHeight="1" spans="1:7" x14ac:dyDescent="0.25">
      <c r="A1" s="1" t="s">
        <v>271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272</v>
      </c>
      <c r="B2" s="2"/>
      <c r="C2" s="2"/>
      <c r="D2" s="2"/>
      <c r="E2" s="2"/>
      <c r="F2" s="2"/>
      <c r="G2" s="2"/>
    </row>
    <row r="4" ht="20" customHeight="1" spans="1:7" x14ac:dyDescent="0.25">
      <c r="A4" s="3" t="s">
        <v>273</v>
      </c>
      <c r="B4" s="3"/>
      <c r="C4" s="3"/>
      <c r="D4" s="3"/>
      <c r="E4" s="3"/>
      <c r="F4" s="3"/>
      <c r="G4" s="3"/>
    </row>
    <row r="5" ht="22" customHeight="1" spans="1:4" x14ac:dyDescent="0.25">
      <c r="A5" s="6" t="s">
        <v>274</v>
      </c>
      <c r="B5" s="6" t="s">
        <v>275</v>
      </c>
      <c r="C5" s="6" t="s">
        <v>276</v>
      </c>
      <c r="D5" s="6" t="s">
        <v>277</v>
      </c>
    </row>
    <row r="6" ht="38" customHeight="1" spans="1:4" x14ac:dyDescent="0.25">
      <c r="A6" s="7" t="s">
        <v>278</v>
      </c>
      <c r="B6" s="7" t="s">
        <v>279</v>
      </c>
      <c r="C6" s="7" t="s">
        <v>280</v>
      </c>
      <c r="D6" s="7" t="s">
        <v>281</v>
      </c>
    </row>
    <row r="7" ht="38" customHeight="1" spans="1:4" x14ac:dyDescent="0.25">
      <c r="A7" s="5" t="s">
        <v>282</v>
      </c>
      <c r="B7" s="5" t="s">
        <v>283</v>
      </c>
      <c r="C7" s="5" t="s">
        <v>284</v>
      </c>
      <c r="D7" s="5" t="s">
        <v>285</v>
      </c>
    </row>
    <row r="8" ht="38" customHeight="1" spans="1:4" x14ac:dyDescent="0.25">
      <c r="A8" s="7" t="s">
        <v>286</v>
      </c>
      <c r="B8" s="7" t="s">
        <v>287</v>
      </c>
      <c r="C8" s="7" t="s">
        <v>288</v>
      </c>
      <c r="D8" s="7" t="s">
        <v>289</v>
      </c>
    </row>
    <row r="9" ht="38" customHeight="1" spans="1:4" x14ac:dyDescent="0.25">
      <c r="A9" s="5" t="s">
        <v>290</v>
      </c>
      <c r="B9" s="5" t="s">
        <v>291</v>
      </c>
      <c r="C9" s="5" t="s">
        <v>292</v>
      </c>
      <c r="D9" s="5" t="s">
        <v>293</v>
      </c>
    </row>
    <row r="10" ht="38" customHeight="1" spans="1:4" x14ac:dyDescent="0.25">
      <c r="A10" s="7" t="s">
        <v>102</v>
      </c>
      <c r="B10" s="7" t="s">
        <v>294</v>
      </c>
      <c r="C10" s="7" t="s">
        <v>295</v>
      </c>
      <c r="D10" s="7" t="s">
        <v>296</v>
      </c>
    </row>
    <row r="12" ht="20" customHeight="1" spans="1:7" x14ac:dyDescent="0.25">
      <c r="A12" s="3" t="s">
        <v>297</v>
      </c>
      <c r="B12" s="3"/>
      <c r="C12" s="3"/>
      <c r="D12" s="3"/>
      <c r="E12" s="3"/>
      <c r="F12" s="3"/>
      <c r="G12" s="3"/>
    </row>
    <row r="13" ht="32" customHeight="1" spans="1:7" x14ac:dyDescent="0.25">
      <c r="A13" s="4" t="s">
        <v>3</v>
      </c>
      <c r="B13" s="5" t="s">
        <v>298</v>
      </c>
      <c r="C13" s="5"/>
      <c r="D13" s="5"/>
      <c r="E13" s="5"/>
      <c r="F13" s="5"/>
      <c r="G13" s="5"/>
    </row>
    <row r="14" ht="32" customHeight="1" spans="1:7" x14ac:dyDescent="0.25">
      <c r="A14" s="4" t="s">
        <v>3</v>
      </c>
      <c r="B14" s="5" t="s">
        <v>299</v>
      </c>
      <c r="C14" s="5"/>
      <c r="D14" s="5"/>
      <c r="E14" s="5"/>
      <c r="F14" s="5"/>
      <c r="G14" s="5"/>
    </row>
    <row r="15" ht="32" customHeight="1" spans="1:7" x14ac:dyDescent="0.25">
      <c r="A15" s="4" t="s">
        <v>3</v>
      </c>
      <c r="B15" s="5" t="s">
        <v>300</v>
      </c>
      <c r="C15" s="5"/>
      <c r="D15" s="5"/>
      <c r="E15" s="5"/>
      <c r="F15" s="5"/>
      <c r="G15" s="5"/>
    </row>
  </sheetData>
  <mergeCells count="7">
    <mergeCell ref="A1:G1"/>
    <mergeCell ref="A2:G2"/>
    <mergeCell ref="A4:G4"/>
    <mergeCell ref="A12:G12"/>
    <mergeCell ref="B13:G13"/>
    <mergeCell ref="B14:G14"/>
    <mergeCell ref="B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22" customWidth="1"/>
    <col min="4" max="5" width="24" customWidth="1"/>
    <col min="6" max="7" width="26" customWidth="1"/>
  </cols>
  <sheetData>
    <row r="1" ht="26" customHeight="1" spans="1:7" x14ac:dyDescent="0.25">
      <c r="A1" s="1" t="s">
        <v>301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302</v>
      </c>
      <c r="B2" s="2"/>
      <c r="C2" s="2"/>
      <c r="D2" s="2"/>
      <c r="E2" s="2"/>
      <c r="F2" s="2"/>
      <c r="G2" s="2"/>
    </row>
    <row r="4" ht="20" customHeight="1" spans="1:7" x14ac:dyDescent="0.25">
      <c r="A4" s="3" t="s">
        <v>303</v>
      </c>
      <c r="B4" s="3"/>
      <c r="C4" s="3"/>
      <c r="D4" s="3"/>
      <c r="E4" s="3"/>
      <c r="F4" s="3"/>
      <c r="G4" s="3"/>
    </row>
    <row r="5" ht="22" customHeight="1" spans="1:6" x14ac:dyDescent="0.25">
      <c r="A5" s="8" t="s">
        <v>69</v>
      </c>
      <c r="B5" s="8" t="s">
        <v>304</v>
      </c>
      <c r="C5" s="8" t="s">
        <v>305</v>
      </c>
      <c r="D5" s="8" t="s">
        <v>306</v>
      </c>
      <c r="E5" s="8" t="s">
        <v>307</v>
      </c>
      <c r="F5" s="8" t="s">
        <v>10</v>
      </c>
    </row>
    <row r="6" ht="30" customHeight="1" spans="1:6" x14ac:dyDescent="0.25">
      <c r="A6" s="5" t="s">
        <v>308</v>
      </c>
      <c r="B6" s="5">
        <v>10</v>
      </c>
      <c r="C6" s="5">
        <v>9</v>
      </c>
      <c r="D6" s="5">
        <v>4</v>
      </c>
      <c r="E6" s="11">
        <f>B6*C6/D6</f>
      </c>
      <c r="F6" s="5" t="s">
        <v>309</v>
      </c>
    </row>
    <row r="7" ht="30" customHeight="1" spans="1:6" x14ac:dyDescent="0.25">
      <c r="A7" s="5" t="s">
        <v>310</v>
      </c>
      <c r="B7" s="5">
        <v>8</v>
      </c>
      <c r="C7" s="5">
        <v>8</v>
      </c>
      <c r="D7" s="5">
        <v>3</v>
      </c>
      <c r="E7" s="11">
        <f>B7*C7/D7</f>
      </c>
      <c r="F7" s="5" t="s">
        <v>311</v>
      </c>
    </row>
    <row r="8" ht="30" customHeight="1" spans="1:6" x14ac:dyDescent="0.25">
      <c r="A8" s="5" t="s">
        <v>312</v>
      </c>
      <c r="B8" s="5">
        <v>7</v>
      </c>
      <c r="C8" s="5">
        <v>7</v>
      </c>
      <c r="D8" s="5">
        <v>5</v>
      </c>
      <c r="E8" s="11">
        <f>B8*C8/D8</f>
      </c>
      <c r="F8" s="5" t="s">
        <v>313</v>
      </c>
    </row>
    <row r="9" ht="30" customHeight="1" spans="1:6" x14ac:dyDescent="0.25">
      <c r="A9" s="5" t="s">
        <v>314</v>
      </c>
      <c r="B9" s="5">
        <v>8</v>
      </c>
      <c r="C9" s="5">
        <v>6</v>
      </c>
      <c r="D9" s="5">
        <v>8</v>
      </c>
      <c r="E9" s="11">
        <f>B9*C9/D9</f>
      </c>
      <c r="F9" s="5" t="s">
        <v>315</v>
      </c>
    </row>
    <row r="10" ht="30" customHeight="1" spans="1:6" x14ac:dyDescent="0.25">
      <c r="A10" s="5" t="s">
        <v>100</v>
      </c>
      <c r="B10" s="5">
        <v>9</v>
      </c>
      <c r="C10" s="5">
        <v>6</v>
      </c>
      <c r="D10" s="5">
        <v>7</v>
      </c>
      <c r="E10" s="11">
        <f>B10*C10/D10</f>
      </c>
      <c r="F10" s="5" t="s">
        <v>316</v>
      </c>
    </row>
    <row r="11" ht="30" customHeight="1" spans="1:6" x14ac:dyDescent="0.25">
      <c r="A11" s="5" t="s">
        <v>317</v>
      </c>
      <c r="B11" s="5">
        <v>6</v>
      </c>
      <c r="C11" s="5">
        <v>5</v>
      </c>
      <c r="D11" s="5">
        <v>6</v>
      </c>
      <c r="E11" s="11">
        <f>B11*C11/D11</f>
      </c>
      <c r="F11" s="5" t="s">
        <v>318</v>
      </c>
    </row>
    <row r="13" ht="20" customHeight="1" spans="1:7" x14ac:dyDescent="0.25">
      <c r="A13" s="3" t="s">
        <v>319</v>
      </c>
      <c r="B13" s="3"/>
      <c r="C13" s="3"/>
      <c r="D13" s="3"/>
      <c r="E13" s="3"/>
      <c r="F13" s="3"/>
      <c r="G13" s="3"/>
    </row>
    <row r="14" ht="32" customHeight="1" spans="1:7" x14ac:dyDescent="0.25">
      <c r="A14" s="4" t="s">
        <v>3</v>
      </c>
      <c r="B14" s="5" t="s">
        <v>320</v>
      </c>
      <c r="C14" s="5"/>
      <c r="D14" s="5"/>
      <c r="E14" s="5"/>
      <c r="F14" s="5"/>
      <c r="G14" s="5"/>
    </row>
    <row r="15" ht="32" customHeight="1" spans="1:7" x14ac:dyDescent="0.25">
      <c r="A15" s="4" t="s">
        <v>3</v>
      </c>
      <c r="B15" s="5" t="s">
        <v>321</v>
      </c>
      <c r="C15" s="5"/>
      <c r="D15" s="5"/>
      <c r="E15" s="5"/>
      <c r="F15" s="5"/>
      <c r="G15" s="5"/>
    </row>
  </sheetData>
  <mergeCells count="6">
    <mergeCell ref="A1:G1"/>
    <mergeCell ref="A2:G2"/>
    <mergeCell ref="A4:G4"/>
    <mergeCell ref="A13:G13"/>
    <mergeCell ref="B14:G14"/>
    <mergeCell ref="B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0" customWidth="1"/>
    <col min="3" max="3" width="24" customWidth="1"/>
    <col min="4" max="4" width="26" customWidth="1"/>
    <col min="5" max="5" width="24" customWidth="1"/>
    <col min="6" max="7" width="26" customWidth="1"/>
  </cols>
  <sheetData>
    <row r="1" ht="26" customHeight="1" spans="1:7" x14ac:dyDescent="0.25">
      <c r="A1" s="1" t="s">
        <v>322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323</v>
      </c>
      <c r="B2" s="2"/>
      <c r="C2" s="2"/>
      <c r="D2" s="2"/>
      <c r="E2" s="2"/>
      <c r="F2" s="2"/>
      <c r="G2" s="2"/>
    </row>
    <row r="4" ht="20" customHeight="1" spans="1:7" x14ac:dyDescent="0.25">
      <c r="A4" s="3" t="s">
        <v>324</v>
      </c>
      <c r="B4" s="3"/>
      <c r="C4" s="3"/>
      <c r="D4" s="3"/>
      <c r="E4" s="3"/>
      <c r="F4" s="3"/>
      <c r="G4" s="3"/>
    </row>
    <row r="5" ht="22" customHeight="1" spans="1:4" x14ac:dyDescent="0.25">
      <c r="A5" s="6" t="s">
        <v>325</v>
      </c>
      <c r="B5" s="6" t="s">
        <v>326</v>
      </c>
      <c r="C5" s="6" t="s">
        <v>327</v>
      </c>
      <c r="D5" s="6" t="s">
        <v>328</v>
      </c>
    </row>
    <row r="6" ht="38" customHeight="1" spans="1:4" x14ac:dyDescent="0.25">
      <c r="A6" s="7" t="s">
        <v>329</v>
      </c>
      <c r="B6" s="7" t="s">
        <v>330</v>
      </c>
      <c r="C6" s="7" t="s">
        <v>331</v>
      </c>
      <c r="D6" s="7" t="s">
        <v>332</v>
      </c>
    </row>
    <row r="7" ht="38" customHeight="1" spans="1:4" x14ac:dyDescent="0.25">
      <c r="A7" s="5" t="s">
        <v>333</v>
      </c>
      <c r="B7" s="5" t="s">
        <v>334</v>
      </c>
      <c r="C7" s="5" t="s">
        <v>335</v>
      </c>
      <c r="D7" s="5" t="s">
        <v>336</v>
      </c>
    </row>
    <row r="8" ht="38" customHeight="1" spans="1:4" x14ac:dyDescent="0.25">
      <c r="A8" s="7" t="s">
        <v>337</v>
      </c>
      <c r="B8" s="7" t="s">
        <v>338</v>
      </c>
      <c r="C8" s="7" t="s">
        <v>339</v>
      </c>
      <c r="D8" s="7" t="s">
        <v>340</v>
      </c>
    </row>
    <row r="9" ht="38" customHeight="1" spans="1:4" x14ac:dyDescent="0.25">
      <c r="A9" s="5" t="s">
        <v>341</v>
      </c>
      <c r="B9" s="5" t="s">
        <v>342</v>
      </c>
      <c r="C9" s="5" t="s">
        <v>343</v>
      </c>
      <c r="D9" s="5" t="s">
        <v>344</v>
      </c>
    </row>
    <row r="10" ht="38" customHeight="1" spans="1:4" x14ac:dyDescent="0.25">
      <c r="A10" s="7" t="s">
        <v>345</v>
      </c>
      <c r="B10" s="7" t="s">
        <v>346</v>
      </c>
      <c r="C10" s="7" t="s">
        <v>347</v>
      </c>
      <c r="D10" s="7" t="s">
        <v>348</v>
      </c>
    </row>
  </sheetData>
  <mergeCells count="3">
    <mergeCell ref="A1:G1"/>
    <mergeCell ref="A2:G2"/>
    <mergeCell ref="A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42" customWidth="1"/>
    <col min="4" max="4" width="44" customWidth="1"/>
    <col min="5" max="5" width="24" customWidth="1"/>
    <col min="6" max="7" width="26" customWidth="1"/>
  </cols>
  <sheetData>
    <row r="1" ht="26" customHeight="1" spans="1:7" x14ac:dyDescent="0.25">
      <c r="A1" s="1" t="s">
        <v>349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350</v>
      </c>
      <c r="B2" s="2"/>
      <c r="C2" s="2"/>
      <c r="D2" s="2"/>
      <c r="E2" s="2"/>
      <c r="F2" s="2"/>
      <c r="G2" s="2"/>
    </row>
    <row r="4" ht="22" customHeight="1" spans="1:4" x14ac:dyDescent="0.25">
      <c r="A4" s="6" t="s">
        <v>351</v>
      </c>
      <c r="B4" s="6" t="s">
        <v>352</v>
      </c>
      <c r="C4" s="6" t="s">
        <v>353</v>
      </c>
      <c r="D4" s="6" t="s">
        <v>354</v>
      </c>
    </row>
    <row r="5" ht="38" customHeight="1" spans="1:4" x14ac:dyDescent="0.25">
      <c r="A5" s="7" t="s">
        <v>355</v>
      </c>
      <c r="B5" s="7" t="s">
        <v>356</v>
      </c>
      <c r="C5" s="12" t="s">
        <v>357</v>
      </c>
      <c r="D5" s="7" t="s">
        <v>358</v>
      </c>
    </row>
    <row r="6" ht="38" customHeight="1" spans="1:4" x14ac:dyDescent="0.25">
      <c r="A6" s="5" t="s">
        <v>355</v>
      </c>
      <c r="B6" s="5" t="s">
        <v>359</v>
      </c>
      <c r="C6" s="13" t="s">
        <v>360</v>
      </c>
      <c r="D6" s="5" t="s">
        <v>361</v>
      </c>
    </row>
    <row r="7" ht="38" customHeight="1" spans="1:4" x14ac:dyDescent="0.25">
      <c r="A7" s="7" t="s">
        <v>355</v>
      </c>
      <c r="B7" s="7" t="s">
        <v>362</v>
      </c>
      <c r="C7" s="12" t="s">
        <v>363</v>
      </c>
      <c r="D7" s="7" t="s">
        <v>364</v>
      </c>
    </row>
    <row r="8" ht="38" customHeight="1" spans="1:4" x14ac:dyDescent="0.25">
      <c r="A8" s="5" t="s">
        <v>365</v>
      </c>
      <c r="B8" s="5" t="s">
        <v>366</v>
      </c>
      <c r="C8" s="13" t="s">
        <v>367</v>
      </c>
      <c r="D8" s="5" t="s">
        <v>368</v>
      </c>
    </row>
    <row r="9" ht="38" customHeight="1" spans="1:4" x14ac:dyDescent="0.25">
      <c r="A9" s="7" t="s">
        <v>365</v>
      </c>
      <c r="B9" s="7" t="s">
        <v>369</v>
      </c>
      <c r="C9" s="12" t="s">
        <v>370</v>
      </c>
      <c r="D9" s="7" t="s">
        <v>371</v>
      </c>
    </row>
    <row r="10" ht="38" customHeight="1" spans="1:4" x14ac:dyDescent="0.25">
      <c r="A10" s="5" t="s">
        <v>365</v>
      </c>
      <c r="B10" s="5" t="s">
        <v>372</v>
      </c>
      <c r="C10" s="13" t="s">
        <v>373</v>
      </c>
      <c r="D10" s="5" t="s">
        <v>374</v>
      </c>
    </row>
    <row r="11" ht="38" customHeight="1" spans="1:4" x14ac:dyDescent="0.25">
      <c r="A11" s="7" t="s">
        <v>375</v>
      </c>
      <c r="B11" s="7" t="s">
        <v>376</v>
      </c>
      <c r="C11" s="12" t="s">
        <v>377</v>
      </c>
      <c r="D11" s="7" t="s">
        <v>378</v>
      </c>
    </row>
    <row r="12" ht="38" customHeight="1" spans="1:4" x14ac:dyDescent="0.25">
      <c r="A12" s="5" t="s">
        <v>375</v>
      </c>
      <c r="B12" s="5" t="s">
        <v>379</v>
      </c>
      <c r="C12" s="13" t="s">
        <v>380</v>
      </c>
      <c r="D12" s="5" t="s">
        <v>381</v>
      </c>
    </row>
    <row r="13" ht="38" customHeight="1" spans="1:4" x14ac:dyDescent="0.25">
      <c r="A13" s="7" t="s">
        <v>268</v>
      </c>
      <c r="B13" s="7" t="s">
        <v>382</v>
      </c>
      <c r="C13" s="12" t="s">
        <v>383</v>
      </c>
      <c r="D13" s="7" t="s">
        <v>384</v>
      </c>
    </row>
    <row r="14" ht="38" customHeight="1" spans="1:4" x14ac:dyDescent="0.25">
      <c r="A14" s="5" t="s">
        <v>385</v>
      </c>
      <c r="B14" s="5" t="s">
        <v>32</v>
      </c>
      <c r="C14" s="13" t="s">
        <v>386</v>
      </c>
      <c r="D14" s="5" t="s">
        <v>387</v>
      </c>
    </row>
    <row r="15" ht="38" customHeight="1" spans="1:4" x14ac:dyDescent="0.25">
      <c r="A15" s="7" t="s">
        <v>385</v>
      </c>
      <c r="B15" s="7" t="s">
        <v>388</v>
      </c>
      <c r="C15" s="12" t="s">
        <v>389</v>
      </c>
      <c r="D15" s="7" t="s">
        <v>390</v>
      </c>
    </row>
    <row r="16" ht="38" customHeight="1" spans="1:4" x14ac:dyDescent="0.25">
      <c r="A16" s="5" t="s">
        <v>391</v>
      </c>
      <c r="B16" s="5" t="s">
        <v>392</v>
      </c>
      <c r="C16" s="13" t="s">
        <v>393</v>
      </c>
      <c r="D16" s="5" t="s">
        <v>394</v>
      </c>
    </row>
    <row r="17" ht="38" customHeight="1" spans="1:4" x14ac:dyDescent="0.25">
      <c r="A17" s="7" t="s">
        <v>391</v>
      </c>
      <c r="B17" s="7" t="s">
        <v>395</v>
      </c>
      <c r="C17" s="12" t="s">
        <v>396</v>
      </c>
      <c r="D17" s="7" t="s">
        <v>397</v>
      </c>
    </row>
    <row r="18" ht="38" customHeight="1" spans="1:4" x14ac:dyDescent="0.25">
      <c r="A18" s="5" t="s">
        <v>391</v>
      </c>
      <c r="B18" s="5" t="s">
        <v>398</v>
      </c>
      <c r="C18" s="13" t="s">
        <v>399</v>
      </c>
      <c r="D18" s="5" t="s">
        <v>400</v>
      </c>
    </row>
  </sheetData>
  <mergeCells count="2">
    <mergeCell ref="A1:G1"/>
    <mergeCell ref="A2:G2"/>
  </mergeCells>
  <hyperlinks>
    <hyperlink ref="C5" r:id="rId1"/>
    <hyperlink ref="C6" r:id="rId2"/>
    <hyperlink ref="C7" r:id="rId3"/>
    <hyperlink ref="C8" r:id="rId4"/>
    <hyperlink ref="C9" r:id="rId5"/>
    <hyperlink ref="C10" r:id="rId6"/>
    <hyperlink ref="C11" r:id="rId7"/>
    <hyperlink ref="C12" r:id="rId8"/>
    <hyperlink ref="C13" r:id="rId9"/>
    <hyperlink ref="C14" r:id="rId10"/>
    <hyperlink ref="C15" r:id="rId11"/>
    <hyperlink ref="C16" r:id="rId12"/>
    <hyperlink ref="C17" r:id="rId13"/>
    <hyperlink ref="C18" r:id="rId1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Market</vt:lpstr>
      <vt:lpstr>Personas</vt:lpstr>
      <vt:lpstr>Product</vt:lpstr>
      <vt:lpstr>Brand UX</vt:lpstr>
      <vt:lpstr>AI Engine</vt:lpstr>
      <vt:lpstr>Architecture</vt:lpstr>
      <vt:lpstr>Stack Matrix</vt:lpstr>
      <vt:lpstr>Business</vt:lpstr>
      <vt:lpstr>Roadmap</vt:lpstr>
      <vt:lpstr>Backlog</vt:lpstr>
      <vt:lpstr>Risks</vt:lpstr>
      <vt:lpstr>Sources</vt:lpstr>
    </vt:vector>
  </TitlesOfParts>
  <Company>OpenAI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>ToneMatch Master Plan</dc:title>
  <dc:subject>ToneMatch product and technical design</dc:subject>
  <dc:description/>
  <cp:keywords/>
  <cp:category/>
  <cp:lastModifiedBy>Unknown</cp:lastModifiedBy>
  <dcterms:created xsi:type="dcterms:W3CDTF">2026-03-08T01:33:52Z</dcterms:created>
  <dcterms:modified xsi:type="dcterms:W3CDTF">2026-03-08T01:33:52Z</dcterms:modified>
</cp:coreProperties>
</file>